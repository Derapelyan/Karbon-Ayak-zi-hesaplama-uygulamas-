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2" activeTab="1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1_Stationary" sheetId="2" state="visible" r:id="rId2"/>
    <sheet xmlns:r="http://schemas.openxmlformats.org/officeDocument/2006/relationships" name="1.2_Mobile" sheetId="3" state="visible" r:id="rId3"/>
    <sheet xmlns:r="http://schemas.openxmlformats.org/officeDocument/2006/relationships" name="1.4_Refrigerants" sheetId="4" state="visible" r:id="rId4"/>
    <sheet xmlns:r="http://schemas.openxmlformats.org/officeDocument/2006/relationships" name="2.1_Electricity" sheetId="5" state="visible" r:id="rId5"/>
    <sheet xmlns:r="http://schemas.openxmlformats.org/officeDocument/2006/relationships" name="3.1_Freight" sheetId="6" state="visible" r:id="rId6"/>
    <sheet xmlns:r="http://schemas.openxmlformats.org/officeDocument/2006/relationships" name="3.2_ProductShipment" sheetId="7" state="visible" r:id="rId7"/>
    <sheet xmlns:r="http://schemas.openxmlformats.org/officeDocument/2006/relationships" name="3.3_Commuting" sheetId="8" state="visible" r:id="rId8"/>
    <sheet xmlns:r="http://schemas.openxmlformats.org/officeDocument/2006/relationships" name="3.4_BusinessTravel" sheetId="9" state="visible" r:id="rId9"/>
    <sheet xmlns:r="http://schemas.openxmlformats.org/officeDocument/2006/relationships" name="3.5_FlightsHotels" sheetId="10" state="visible" r:id="rId10"/>
    <sheet xmlns:r="http://schemas.openxmlformats.org/officeDocument/2006/relationships" name="4.1_Purchased" sheetId="11" state="visible" r:id="rId11"/>
    <sheet xmlns:r="http://schemas.openxmlformats.org/officeDocument/2006/relationships" name="4.2_Capital" sheetId="12" state="visible" r:id="rId12"/>
    <sheet xmlns:r="http://schemas.openxmlformats.org/officeDocument/2006/relationships" name="4.3_Waste" sheetId="13" state="visible" r:id="rId13"/>
    <sheet xmlns:r="http://schemas.openxmlformats.org/officeDocument/2006/relationships" name="4.4_LeasedEquipment" sheetId="14" state="visible" r:id="rId14"/>
    <sheet xmlns:r="http://schemas.openxmlformats.org/officeDocument/2006/relationships" name="4.5_Services" sheetId="15" state="visible" r:id="rId15"/>
    <sheet xmlns:r="http://schemas.openxmlformats.org/officeDocument/2006/relationships" name="6.1_TDLosses" sheetId="16" state="visible" r:id="rId16"/>
    <sheet xmlns:r="http://schemas.openxmlformats.org/officeDocument/2006/relationships" name="PERSONNEL" sheetId="17" state="visible" r:id="rId17"/>
    <sheet xmlns:r="http://schemas.openxmlformats.org/officeDocument/2006/relationships" name="TOTAL_EMISSIONS" sheetId="18" state="visible" r:id="rId18"/>
    <sheet xmlns:r="http://schemas.openxmlformats.org/officeDocument/2006/relationships" name="IMPACT_ANALYSIS" sheetId="19" state="visible" r:id="rId19"/>
    <sheet xmlns:r="http://schemas.openxmlformats.org/officeDocument/2006/relationships" name="PER_CAPITA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_-;\-* #,##0.00_-;_-* &quot;-&quot;??_-;_-@_-"/>
    <numFmt numFmtId="165" formatCode="0.00000"/>
    <numFmt numFmtId="166" formatCode="0.0000"/>
    <numFmt numFmtId="167" formatCode="#,##0.0000"/>
    <numFmt numFmtId="168" formatCode="0.000000"/>
    <numFmt numFmtId="169" formatCode="0.000"/>
    <numFmt numFmtId="170" formatCode="_-&quot;₺&quot;* #,##0.00_-;\-&quot;₺&quot;* #,##0.00_-;_-&quot;₺&quot;* &quot;-&quot;??_-;_-@_-"/>
  </numFmts>
  <fonts count="58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FFFFFF"/>
      <sz val="13"/>
    </font>
    <font>
      <name val="Arial"/>
      <i val="1"/>
      <color rgb="FF595959"/>
      <sz val="9"/>
    </font>
    <font>
      <name val="Arial"/>
      <color rgb="FF00008B"/>
      <sz val="10"/>
    </font>
    <font>
      <name val="Arial"/>
      <color rgb="FF595959"/>
      <sz val="10"/>
    </font>
    <font>
      <name val="Arial"/>
      <color rgb="FF375623"/>
      <sz val="10"/>
    </font>
    <font>
      <name val="Arial"/>
      <i val="1"/>
      <color rgb="FF404040"/>
      <sz val="9"/>
    </font>
    <font>
      <name val="Arial"/>
      <color rgb="FF00008B"/>
      <sz val="9"/>
    </font>
    <font>
      <name val="Arial"/>
      <color rgb="FF375623"/>
      <sz val="9"/>
    </font>
    <font>
      <name val="Arial"/>
      <color rgb="FF595959"/>
      <sz val="9"/>
    </font>
    <font>
      <name val="Arial"/>
      <color rgb="FF7B3F00"/>
      <sz val="9"/>
    </font>
    <font>
      <name val="Arial"/>
      <b val="1"/>
      <color rgb="FF7B3F00"/>
      <sz val="10"/>
    </font>
    <font>
      <name val="Arial"/>
      <color rgb="FF375623"/>
      <sz val="10"/>
    </font>
    <font>
      <name val="Arial"/>
      <color rgb="FF375623"/>
      <sz val="10"/>
    </font>
    <font>
      <name val="Arial"/>
      <color rgb="FF595959"/>
      <sz val="10"/>
    </font>
    <font>
      <name val="Arial"/>
      <b val="1"/>
      <color rgb="FF7B3F00"/>
      <sz val="10"/>
    </font>
    <font>
      <name val="Arial"/>
      <color rgb="FF843C0C"/>
      <sz val="10"/>
    </font>
    <font>
      <name val="Arial"/>
      <b val="1"/>
      <color rgb="FFFFFFFF"/>
      <sz val="10"/>
    </font>
    <font>
      <name val="Arial"/>
      <color rgb="FF00008B"/>
      <sz val="10"/>
    </font>
    <font>
      <name val="Arial"/>
      <b val="1"/>
      <color rgb="FFFFFFFF"/>
      <sz val="10"/>
    </font>
    <font>
      <name val="Arial"/>
      <color rgb="FF375623"/>
      <sz val="10"/>
    </font>
    <font>
      <name val="Arial"/>
      <b val="1"/>
      <color rgb="FFFFFFFF"/>
      <sz val="12"/>
    </font>
    <font>
      <name val="Arial"/>
      <i val="1"/>
      <color rgb="FF595959"/>
      <sz val="9"/>
    </font>
    <font>
      <name val="Arial"/>
      <color rgb="FF00008B"/>
      <sz val="10"/>
    </font>
    <font>
      <name val="Arial"/>
      <color rgb="FF595959"/>
      <sz val="10"/>
    </font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Tahoma"/>
      <charset val="162"/>
      <family val="2"/>
      <color indexed="81"/>
      <sz val="9"/>
    </font>
    <font>
      <name val="Tahoma"/>
      <charset val="162"/>
      <family val="2"/>
      <b val="1"/>
      <color indexed="81"/>
      <sz val="9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indexed="12"/>
      <sz val="11"/>
      <u val="single"/>
    </font>
    <font>
      <name val="Calibri"/>
      <family val="2"/>
      <color rgb="FF9C0006"/>
      <sz val="11"/>
      <scheme val="minor"/>
    </font>
    <font>
      <name val="Arial"/>
      <family val="2"/>
      <color theme="9" tint="-0.499984740745262"/>
      <sz val="10"/>
    </font>
    <font>
      <name val="Calibri"/>
      <family val="2"/>
      <b val="1"/>
      <color theme="0"/>
      <sz val="11"/>
      <scheme val="minor"/>
    </font>
    <font>
      <name val="Arial"/>
      <family val="2"/>
      <i val="1"/>
      <color rgb="FFFF0000"/>
      <sz val="10"/>
    </font>
    <font>
      <name val="Arial"/>
      <family val="2"/>
      <color theme="11"/>
      <sz val="10"/>
      <u val="single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1"/>
    </font>
    <font>
      <name val="Cambria"/>
      <family val="2"/>
      <color theme="3"/>
      <sz val="18"/>
      <scheme val="major"/>
    </font>
    <font>
      <name val="Arial"/>
      <family val="2"/>
      <color indexed="12"/>
      <sz val="10"/>
      <u val="single"/>
    </font>
    <font>
      <name val="Calibri"/>
      <family val="2"/>
      <color theme="1"/>
      <sz val="12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843C0C"/>
      <sz val="10"/>
    </font>
    <font>
      <name val="Arial"/>
      <color rgb="00595959"/>
      <sz val="10"/>
    </font>
    <font>
      <name val="Arial"/>
      <color rgb="0000008B"/>
      <sz val="10"/>
    </font>
    <font>
      <name val="Arial"/>
      <b val="1"/>
      <color rgb="00FFFFFF"/>
      <sz val="11"/>
    </font>
    <font>
      <name val="Arial"/>
      <b val="1"/>
      <color rgb="007B3F00"/>
      <sz val="10"/>
    </font>
  </fonts>
  <fills count="6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EBF3FB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3999755851924192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843C0C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3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38">
    <xf numFmtId="0" fontId="29" fillId="0" borderId="0"/>
    <xf numFmtId="43" fontId="29" fillId="0" borderId="0"/>
    <xf numFmtId="164" fontId="29" fillId="0" borderId="0"/>
    <xf numFmtId="164" fontId="29" fillId="0" borderId="0"/>
    <xf numFmtId="170" fontId="29" fillId="0" borderId="0"/>
    <xf numFmtId="0" fontId="35" fillId="0" borderId="0"/>
    <xf numFmtId="0" fontId="29" fillId="30" borderId="0"/>
    <xf numFmtId="0" fontId="29" fillId="34" borderId="0"/>
    <xf numFmtId="0" fontId="29" fillId="38" borderId="0"/>
    <xf numFmtId="0" fontId="29" fillId="42" borderId="0"/>
    <xf numFmtId="0" fontId="29" fillId="46" borderId="0"/>
    <xf numFmtId="0" fontId="29" fillId="50" borderId="0"/>
    <xf numFmtId="0" fontId="29" fillId="31" borderId="0"/>
    <xf numFmtId="0" fontId="29" fillId="35" borderId="0"/>
    <xf numFmtId="0" fontId="29" fillId="39" borderId="0"/>
    <xf numFmtId="0" fontId="29" fillId="43" borderId="0"/>
    <xf numFmtId="0" fontId="29" fillId="47" borderId="0"/>
    <xf numFmtId="0" fontId="29" fillId="51" borderId="0"/>
    <xf numFmtId="0" fontId="29" fillId="32" borderId="0"/>
    <xf numFmtId="0" fontId="29" fillId="36" borderId="0"/>
    <xf numFmtId="0" fontId="29" fillId="40" borderId="0"/>
    <xf numFmtId="0" fontId="29" fillId="44" borderId="0"/>
    <xf numFmtId="0" fontId="29" fillId="48" borderId="0"/>
    <xf numFmtId="0" fontId="29" fillId="52" borderId="0"/>
    <xf numFmtId="0" fontId="33" fillId="29" borderId="0"/>
    <xf numFmtId="0" fontId="33" fillId="33" borderId="0"/>
    <xf numFmtId="0" fontId="33" fillId="37" borderId="0"/>
    <xf numFmtId="0" fontId="33" fillId="41" borderId="0"/>
    <xf numFmtId="0" fontId="33" fillId="45" borderId="0"/>
    <xf numFmtId="0" fontId="33" fillId="49" borderId="0"/>
    <xf numFmtId="0" fontId="38" fillId="25" borderId="0"/>
    <xf numFmtId="0" fontId="36" fillId="54" borderId="25"/>
    <xf numFmtId="0" fontId="39" fillId="55" borderId="6" applyAlignment="1">
      <alignment vertical="center"/>
    </xf>
    <xf numFmtId="0" fontId="40" fillId="27" borderId="10"/>
    <xf numFmtId="164" fontId="35" fillId="0" borderId="0"/>
    <xf numFmtId="164" fontId="35" fillId="0" borderId="0"/>
    <xf numFmtId="0" fontId="41" fillId="0" borderId="0"/>
    <xf numFmtId="0" fontId="42" fillId="0" borderId="0"/>
    <xf numFmtId="0" fontId="43" fillId="24" borderId="0"/>
    <xf numFmtId="0" fontId="37" fillId="0" borderId="0" applyAlignment="1" applyProtection="1">
      <alignment vertical="top"/>
      <protection locked="0" hidden="0"/>
    </xf>
    <xf numFmtId="0" fontId="36" fillId="56" borderId="9"/>
    <xf numFmtId="0" fontId="36" fillId="57" borderId="0" applyAlignment="1">
      <alignment vertical="center"/>
    </xf>
    <xf numFmtId="0" fontId="36" fillId="53" borderId="26"/>
    <xf numFmtId="0" fontId="44" fillId="26" borderId="0"/>
    <xf numFmtId="0" fontId="35" fillId="28" borderId="11"/>
    <xf numFmtId="0" fontId="45" fillId="58" borderId="27"/>
    <xf numFmtId="9" fontId="46" fillId="0" borderId="0"/>
    <xf numFmtId="0" fontId="36" fillId="59" borderId="28" applyAlignment="1">
      <alignment vertical="center"/>
    </xf>
    <xf numFmtId="0" fontId="47" fillId="0" borderId="0"/>
    <xf numFmtId="0" fontId="45" fillId="60" borderId="0"/>
    <xf numFmtId="0" fontId="49" fillId="0" borderId="0" applyAlignment="1">
      <alignment vertical="center" wrapText="1"/>
    </xf>
    <xf numFmtId="9" fontId="36" fillId="0" borderId="0"/>
    <xf numFmtId="0" fontId="48" fillId="0" borderId="0" applyAlignment="1" applyProtection="1">
      <alignment vertical="top"/>
      <protection locked="0" hidden="0"/>
    </xf>
    <xf numFmtId="0" fontId="29" fillId="30" borderId="0"/>
    <xf numFmtId="0" fontId="29" fillId="34" borderId="0"/>
    <xf numFmtId="0" fontId="29" fillId="38" borderId="0"/>
    <xf numFmtId="0" fontId="29" fillId="42" borderId="0"/>
    <xf numFmtId="0" fontId="29" fillId="46" borderId="0"/>
    <xf numFmtId="0" fontId="29" fillId="50" borderId="0"/>
    <xf numFmtId="0" fontId="29" fillId="31" borderId="0"/>
    <xf numFmtId="0" fontId="29" fillId="35" borderId="0"/>
    <xf numFmtId="0" fontId="29" fillId="39" borderId="0"/>
    <xf numFmtId="0" fontId="29" fillId="43" borderId="0"/>
    <xf numFmtId="0" fontId="29" fillId="47" borderId="0"/>
    <xf numFmtId="0" fontId="29" fillId="51" borderId="0"/>
    <xf numFmtId="0" fontId="29" fillId="32" borderId="0"/>
    <xf numFmtId="0" fontId="29" fillId="36" borderId="0"/>
    <xf numFmtId="0" fontId="29" fillId="40" borderId="0"/>
    <xf numFmtId="0" fontId="29" fillId="44" borderId="0"/>
    <xf numFmtId="0" fontId="29" fillId="48" borderId="0"/>
    <xf numFmtId="0" fontId="29" fillId="52" borderId="0"/>
    <xf numFmtId="164" fontId="35" fillId="0" borderId="0"/>
    <xf numFmtId="164" fontId="35" fillId="0" borderId="0"/>
    <xf numFmtId="0" fontId="35" fillId="0" borderId="0"/>
    <xf numFmtId="0" fontId="35" fillId="0" borderId="0"/>
    <xf numFmtId="164" fontId="29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  <xf numFmtId="164" fontId="35" fillId="0" borderId="0"/>
    <xf numFmtId="164" fontId="35" fillId="0" borderId="0"/>
    <xf numFmtId="164" fontId="29" fillId="0" borderId="0"/>
    <xf numFmtId="164" fontId="29" fillId="0" borderId="0"/>
    <xf numFmtId="170" fontId="29" fillId="0" borderId="0"/>
    <xf numFmtId="164" fontId="35" fillId="0" borderId="0"/>
    <xf numFmtId="164" fontId="35" fillId="0" borderId="0"/>
  </cellStyleXfs>
  <cellXfs count="14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0" fillId="6" borderId="1" pivotButton="0" quotePrefix="0" xfId="0"/>
    <xf numFmtId="0" fontId="11" fillId="0" borderId="0" applyAlignment="1" pivotButton="0" quotePrefix="0" xfId="0">
      <alignment horizontal="left" vertical="center"/>
    </xf>
    <xf numFmtId="0" fontId="0" fillId="8" borderId="1" pivotButton="0" quotePrefix="0" xfId="0"/>
    <xf numFmtId="0" fontId="12" fillId="0" borderId="0" applyAlignment="1" pivotButton="0" quotePrefix="0" xfId="0">
      <alignment horizontal="left" vertical="center"/>
    </xf>
    <xf numFmtId="0" fontId="0" fillId="7" borderId="1" pivotButton="0" quotePrefix="0" xfId="0"/>
    <xf numFmtId="0" fontId="13" fillId="0" borderId="0" applyAlignment="1" pivotButton="0" quotePrefix="0" xfId="0">
      <alignment horizontal="left" vertical="center"/>
    </xf>
    <xf numFmtId="0" fontId="0" fillId="9" borderId="1" pivotButton="0" quotePrefix="0" xfId="0"/>
    <xf numFmtId="0" fontId="14" fillId="0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/>
    </xf>
    <xf numFmtId="0" fontId="0" fillId="3" borderId="0" pivotButton="0" quotePrefix="0" xfId="0"/>
    <xf numFmtId="0" fontId="16" fillId="11" borderId="4" applyAlignment="1" pivotButton="0" quotePrefix="0" xfId="0">
      <alignment horizontal="center" vertical="center"/>
    </xf>
    <xf numFmtId="0" fontId="17" fillId="12" borderId="5" applyAlignment="1" pivotButton="0" quotePrefix="0" xfId="0">
      <alignment horizontal="center" vertical="center"/>
    </xf>
    <xf numFmtId="0" fontId="18" fillId="13" borderId="5" applyAlignment="1" pivotButton="0" quotePrefix="0" xfId="0">
      <alignment horizontal="center" vertical="center"/>
    </xf>
    <xf numFmtId="0" fontId="19" fillId="14" borderId="5" applyAlignment="1" pivotButton="0" quotePrefix="0" xfId="0">
      <alignment horizontal="center" vertical="center"/>
    </xf>
    <xf numFmtId="0" fontId="20" fillId="16" borderId="5" applyAlignment="1" pivotButton="0" quotePrefix="0" xfId="0">
      <alignment horizontal="center" vertical="center"/>
    </xf>
    <xf numFmtId="0" fontId="0" fillId="15" borderId="0" pivotButton="0" quotePrefix="0" xfId="0"/>
    <xf numFmtId="0" fontId="22" fillId="18" borderId="5" applyAlignment="1" pivotButton="0" quotePrefix="0" xfId="0">
      <alignment horizontal="center" vertical="center"/>
    </xf>
    <xf numFmtId="0" fontId="0" fillId="15" borderId="1" pivotButton="0" quotePrefix="0" xfId="0"/>
    <xf numFmtId="0" fontId="11" fillId="15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/>
    </xf>
    <xf numFmtId="0" fontId="13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/>
    </xf>
    <xf numFmtId="0" fontId="0" fillId="0" borderId="3" pivotButton="0" quotePrefix="0" xfId="0"/>
    <xf numFmtId="0" fontId="23" fillId="19" borderId="6" applyAlignment="1" pivotButton="0" quotePrefix="0" xfId="0">
      <alignment horizontal="center" vertical="center" wrapText="1"/>
    </xf>
    <xf numFmtId="0" fontId="24" fillId="20" borderId="6" applyAlignment="1" pivotButton="0" quotePrefix="0" xfId="0">
      <alignment horizontal="center" vertical="center"/>
    </xf>
    <xf numFmtId="0" fontId="23" fillId="22" borderId="6" applyAlignment="1" pivotButton="0" quotePrefix="0" xfId="0">
      <alignment horizontal="center" vertical="center" wrapText="1"/>
    </xf>
    <xf numFmtId="0" fontId="27" fillId="23" borderId="6" applyAlignment="1" pivotButton="0" quotePrefix="0" xfId="0">
      <alignment horizontal="center" vertical="center"/>
    </xf>
    <xf numFmtId="0" fontId="28" fillId="21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2" borderId="0" applyAlignment="1" pivotButton="0" quotePrefix="0" xfId="0">
      <alignment horizontal="center" vertical="center"/>
    </xf>
    <xf numFmtId="0" fontId="23" fillId="19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26" fillId="21" borderId="0" applyAlignment="1" pivotButton="0" quotePrefix="0" xfId="0">
      <alignment horizontal="left" vertical="center"/>
    </xf>
    <xf numFmtId="0" fontId="26" fillId="21" borderId="0" applyAlignment="1" pivotButton="0" quotePrefix="0" xfId="0">
      <alignment horizontal="left" vertical="center" wrapText="1"/>
    </xf>
    <xf numFmtId="0" fontId="25" fillId="19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left" vertical="center" indent="1"/>
    </xf>
    <xf numFmtId="0" fontId="21" fillId="17" borderId="5" applyAlignment="1" pivotButton="0" quotePrefix="0" xfId="0">
      <alignment horizontal="center" vertical="center"/>
    </xf>
    <xf numFmtId="0" fontId="3" fillId="15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indent="1"/>
    </xf>
    <xf numFmtId="0" fontId="3" fillId="2" borderId="1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7" fillId="23" borderId="6" applyAlignment="1" pivotButton="0" quotePrefix="0" xfId="0">
      <alignment horizontal="center" vertical="center"/>
    </xf>
    <xf numFmtId="0" fontId="9" fillId="20" borderId="6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18" fillId="13" borderId="6" applyAlignment="1" pivotButton="0" quotePrefix="0" xfId="0">
      <alignment horizontal="center" vertical="center"/>
    </xf>
    <xf numFmtId="0" fontId="8" fillId="21" borderId="6" applyAlignment="1" pivotButton="0" quotePrefix="0" xfId="0">
      <alignment horizontal="center" vertical="center"/>
    </xf>
    <xf numFmtId="0" fontId="30" fillId="0" borderId="15" applyAlignment="1" pivotButton="0" quotePrefix="0" xfId="0">
      <alignment horizontal="center" vertical="center"/>
    </xf>
    <xf numFmtId="0" fontId="30" fillId="0" borderId="17" applyAlignment="1" pivotButton="0" quotePrefix="0" xfId="0">
      <alignment horizontal="center" vertical="center"/>
    </xf>
    <xf numFmtId="0" fontId="30" fillId="0" borderId="14" applyAlignment="1" pivotButton="0" quotePrefix="0" xfId="0">
      <alignment horizontal="center" vertical="center"/>
    </xf>
    <xf numFmtId="0" fontId="30" fillId="0" borderId="22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4" fontId="9" fillId="8" borderId="6" applyAlignment="1" pivotButton="0" quotePrefix="0" xfId="0">
      <alignment horizontal="center" vertical="center"/>
    </xf>
    <xf numFmtId="164" fontId="0" fillId="0" borderId="13" pivotButton="0" quotePrefix="0" xfId="1"/>
    <xf numFmtId="0" fontId="7" fillId="6" borderId="1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27" fillId="23" borderId="6" applyAlignment="1" pivotButton="0" quotePrefix="0" xfId="0">
      <alignment horizontal="center" vertical="center" wrapText="1"/>
    </xf>
    <xf numFmtId="0" fontId="22" fillId="18" borderId="6" applyAlignment="1" pivotButton="0" quotePrefix="0" xfId="0">
      <alignment horizontal="center" vertical="center"/>
    </xf>
    <xf numFmtId="0" fontId="30" fillId="0" borderId="24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0" fillId="0" borderId="13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 wrapText="1"/>
    </xf>
    <xf numFmtId="4" fontId="7" fillId="6" borderId="6" applyAlignment="1" pivotButton="0" quotePrefix="0" xfId="0">
      <alignment horizontal="center" vertical="center"/>
    </xf>
    <xf numFmtId="0" fontId="0" fillId="0" borderId="0" pivotButton="0" quotePrefix="0" xfId="0"/>
    <xf numFmtId="0" fontId="30" fillId="0" borderId="20" applyAlignment="1" pivotButton="0" quotePrefix="0" xfId="0">
      <alignment horizontal="center"/>
    </xf>
    <xf numFmtId="165" fontId="1" fillId="0" borderId="13" applyAlignment="1" pivotButton="0" quotePrefix="0" xfId="1">
      <alignment horizontal="center" vertical="center"/>
    </xf>
    <xf numFmtId="0" fontId="30" fillId="0" borderId="23" applyAlignment="1" pivotButton="0" quotePrefix="0" xfId="0">
      <alignment horizontal="center" vertical="center"/>
    </xf>
    <xf numFmtId="0" fontId="30" fillId="0" borderId="16" applyAlignment="1" pivotButton="0" quotePrefix="0" xfId="0">
      <alignment horizontal="center" vertical="center"/>
    </xf>
    <xf numFmtId="0" fontId="30" fillId="0" borderId="19" applyAlignment="1" pivotButton="0" quotePrefix="0" xfId="0">
      <alignment horizontal="center" vertical="center"/>
    </xf>
    <xf numFmtId="0" fontId="30" fillId="0" borderId="13" applyAlignment="1" pivotButton="0" quotePrefix="0" xfId="0">
      <alignment horizontal="center" vertical="center" wrapText="1"/>
    </xf>
    <xf numFmtId="0" fontId="30" fillId="0" borderId="1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30" fillId="0" borderId="0" pivotButton="0" quotePrefix="0" xfId="0"/>
    <xf numFmtId="0" fontId="0" fillId="0" borderId="13" pivotButton="0" quotePrefix="0" xfId="0"/>
    <xf numFmtId="0" fontId="3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30" fillId="0" borderId="13" applyAlignment="1" pivotButton="0" quotePrefix="0" xfId="0">
      <alignment wrapText="1"/>
    </xf>
    <xf numFmtId="0" fontId="1" fillId="0" borderId="13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3" applyAlignment="1" pivotButton="0" quotePrefix="0" xfId="0">
      <alignment horizontal="left" vertical="center"/>
    </xf>
    <xf numFmtId="167" fontId="1" fillId="0" borderId="13" applyAlignment="1" pivotButton="0" quotePrefix="0" xfId="0">
      <alignment horizontal="center" vertical="center"/>
    </xf>
    <xf numFmtId="168" fontId="0" fillId="0" borderId="13" pivotButton="0" quotePrefix="0" xfId="0"/>
    <xf numFmtId="2" fontId="1" fillId="0" borderId="13" pivotButton="0" quotePrefix="0" xfId="0"/>
    <xf numFmtId="0" fontId="30" fillId="0" borderId="13" applyAlignment="1" pivotButton="0" quotePrefix="0" xfId="0">
      <alignment horizontal="center" vertical="center"/>
    </xf>
    <xf numFmtId="169" fontId="1" fillId="0" borderId="13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166" fontId="0" fillId="0" borderId="0" applyAlignment="1" pivotButton="0" quotePrefix="0" xfId="0">
      <alignment horizontal="center"/>
    </xf>
    <xf numFmtId="0" fontId="0" fillId="0" borderId="16" pivotButton="0" quotePrefix="0" xfId="0"/>
    <xf numFmtId="0" fontId="0" fillId="0" borderId="15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18" pivotButton="0" quotePrefix="0" xfId="0"/>
    <xf numFmtId="164" fontId="0" fillId="0" borderId="13" pivotButton="0" quotePrefix="0" xfId="1"/>
    <xf numFmtId="168" fontId="0" fillId="0" borderId="13" pivotButton="0" quotePrefix="0" xfId="0"/>
    <xf numFmtId="165" fontId="1" fillId="0" borderId="13" applyAlignment="1" pivotButton="0" quotePrefix="0" xfId="1">
      <alignment horizontal="center" vertical="center"/>
    </xf>
    <xf numFmtId="169" fontId="1" fillId="0" borderId="13" applyAlignment="1" pivotButton="0" quotePrefix="0" xfId="0">
      <alignment horizontal="center" vertical="center"/>
    </xf>
    <xf numFmtId="167" fontId="1" fillId="0" borderId="13" applyAlignment="1" pivotButton="0" quotePrefix="0" xfId="0">
      <alignment horizontal="center" vertical="center"/>
    </xf>
    <xf numFmtId="0" fontId="50" fillId="61" borderId="32" applyAlignment="1" pivotButton="0" quotePrefix="0" xfId="0">
      <alignment horizontal="center" vertical="center"/>
    </xf>
    <xf numFmtId="0" fontId="51" fillId="62" borderId="32" applyAlignment="1" pivotButton="0" quotePrefix="0" xfId="0">
      <alignment horizontal="left" vertical="center"/>
    </xf>
    <xf numFmtId="0" fontId="52" fillId="61" borderId="32" applyAlignment="1" pivotButton="0" quotePrefix="0" xfId="0">
      <alignment horizontal="center" vertical="center" wrapText="1"/>
    </xf>
    <xf numFmtId="0" fontId="55" fillId="65" borderId="32" applyAlignment="1" pivotButton="0" quotePrefix="0" xfId="0">
      <alignment horizontal="center" vertical="center"/>
    </xf>
    <xf numFmtId="0" fontId="56" fillId="66" borderId="32" applyAlignment="1" pivotButton="0" quotePrefix="0" xfId="0">
      <alignment horizontal="center" vertical="center"/>
    </xf>
    <xf numFmtId="0" fontId="54" fillId="62" borderId="32" applyAlignment="1" pivotButton="0" quotePrefix="0" xfId="0">
      <alignment horizontal="center" vertical="center"/>
    </xf>
    <xf numFmtId="0" fontId="57" fillId="67" borderId="32" applyAlignment="1" pivotButton="0" quotePrefix="0" xfId="0">
      <alignment horizontal="center" vertical="center"/>
    </xf>
    <xf numFmtId="0" fontId="53" fillId="63" borderId="32" applyAlignment="1" pivotButton="0" quotePrefix="0" xfId="0">
      <alignment horizontal="center" vertical="center"/>
    </xf>
    <xf numFmtId="0" fontId="52" fillId="64" borderId="32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10" fillId="68" borderId="0" applyAlignment="1" pivotButton="0" quotePrefix="0" xfId="0">
      <alignment horizontal="left" vertical="center" indent="1"/>
    </xf>
    <xf numFmtId="0" fontId="0" fillId="68" borderId="0" pivotButton="0" quotePrefix="0" xfId="0"/>
    <xf numFmtId="0" fontId="54" fillId="68" borderId="32" applyAlignment="1" pivotButton="0" quotePrefix="0" xfId="0">
      <alignment horizontal="center" vertical="center"/>
    </xf>
    <xf numFmtId="0" fontId="0" fillId="68" borderId="1" pivotButton="0" quotePrefix="0" xfId="0"/>
    <xf numFmtId="0" fontId="11" fillId="68" borderId="0" applyAlignment="1" pivotButton="0" quotePrefix="0" xfId="0">
      <alignment horizontal="left" vertical="center"/>
    </xf>
    <xf numFmtId="0" fontId="12" fillId="68" borderId="0" applyAlignment="1" pivotButton="0" quotePrefix="0" xfId="0">
      <alignment horizontal="left" vertical="center"/>
    </xf>
    <xf numFmtId="0" fontId="13" fillId="68" borderId="0" applyAlignment="1" pivotButton="0" quotePrefix="0" xfId="0">
      <alignment horizontal="left" vertical="center"/>
    </xf>
    <xf numFmtId="0" fontId="14" fillId="68" borderId="0" applyAlignment="1" pivotButton="0" quotePrefix="0" xfId="0">
      <alignment horizontal="left" vertical="center"/>
    </xf>
  </cellXfs>
  <cellStyles count="138">
    <cellStyle name="Normal" xfId="0" builtinId="0"/>
    <cellStyle name="Virgül" xfId="1" builtinId="3"/>
    <cellStyle name="Virgül 4" xfId="2"/>
    <cellStyle name="Virgül 2" xfId="3"/>
    <cellStyle name="ParaBirimi 2" xfId="4"/>
    <cellStyle name="Normal 2" xfId="5"/>
    <cellStyle name="%20 - Vurgu1 2" xfId="6"/>
    <cellStyle name="%20 - Vurgu2 2" xfId="7"/>
    <cellStyle name="%20 - Vurgu3 2" xfId="8"/>
    <cellStyle name="%20 - Vurgu4 2" xfId="9"/>
    <cellStyle name="%20 - Vurgu5 2" xfId="10"/>
    <cellStyle name="%20 - Vurgu6 2" xfId="11"/>
    <cellStyle name="%40 - Vurgu1 2" xfId="12"/>
    <cellStyle name="%40 - Vurgu2 2" xfId="13"/>
    <cellStyle name="%40 - Vurgu3 2" xfId="14"/>
    <cellStyle name="%40 - Vurgu4 2" xfId="15"/>
    <cellStyle name="%40 - Vurgu5 2" xfId="16"/>
    <cellStyle name="%40 - Vurgu6 2" xfId="17"/>
    <cellStyle name="%60 - Vurgu1 2" xfId="18"/>
    <cellStyle name="%60 - Vurgu2 2" xfId="19"/>
    <cellStyle name="%60 - Vurgu3 2" xfId="20"/>
    <cellStyle name="%60 - Vurgu4 2" xfId="21"/>
    <cellStyle name="%60 - Vurgu5 2" xfId="22"/>
    <cellStyle name="%60 - Vurgu6 2" xfId="23"/>
    <cellStyle name="Vurgu1 2" xfId="24"/>
    <cellStyle name="Vurgu2 2" xfId="25"/>
    <cellStyle name="Vurgu3 2" xfId="26"/>
    <cellStyle name="Vurgu4 2" xfId="27"/>
    <cellStyle name="Vurgu5 2" xfId="28"/>
    <cellStyle name="Vurgu6 2" xfId="29"/>
    <cellStyle name="Kötü 2" xfId="30"/>
    <cellStyle name="Hesaplama 2" xfId="31"/>
    <cellStyle name="Calculation 2" xfId="32"/>
    <cellStyle name="İşaretli Hücre 2" xfId="33"/>
    <cellStyle name="Virgül 3" xfId="34"/>
    <cellStyle name="Comma 2" xfId="35"/>
    <cellStyle name="Açıklama Metni 2" xfId="36"/>
    <cellStyle name="İzlenen Köprü 2" xfId="37"/>
    <cellStyle name="İyi 2" xfId="38"/>
    <cellStyle name="Köprü 2" xfId="39"/>
    <cellStyle name="Giriş 2" xfId="40"/>
    <cellStyle name="Input data" xfId="41"/>
    <cellStyle name="Bağlı Hücre 2" xfId="42"/>
    <cellStyle name="Nötr 2" xfId="43"/>
    <cellStyle name="Not 2" xfId="44"/>
    <cellStyle name="Çıkış 2" xfId="45"/>
    <cellStyle name="Percent 2" xfId="46"/>
    <cellStyle name="Selection" xfId="47"/>
    <cellStyle name="Ana Başlık 2" xfId="48"/>
    <cellStyle name="Uyarı Metni 2" xfId="49"/>
    <cellStyle name="Normal 4" xfId="50"/>
    <cellStyle name="Percent 3" xfId="51"/>
    <cellStyle name="Hyperlink 2" xfId="52"/>
    <cellStyle name="20% - Accent1 2" xfId="53"/>
    <cellStyle name="20% - Accent2 2" xfId="54"/>
    <cellStyle name="20% - Accent3 2" xfId="55"/>
    <cellStyle name="20% - Accent4 2" xfId="56"/>
    <cellStyle name="20% - Accent5 2" xfId="57"/>
    <cellStyle name="20% - Accent6 2" xfId="58"/>
    <cellStyle name="40% - Accent1 2" xfId="59"/>
    <cellStyle name="40% - Accent2 2" xfId="60"/>
    <cellStyle name="40% - Accent3 2" xfId="61"/>
    <cellStyle name="40% - Accent4 2" xfId="62"/>
    <cellStyle name="40% - Accent5 2" xfId="63"/>
    <cellStyle name="40% - Accent6 2" xfId="64"/>
    <cellStyle name="60% - Accent1 2" xfId="65"/>
    <cellStyle name="60% - Accent2 2" xfId="66"/>
    <cellStyle name="60% - Accent3 2" xfId="67"/>
    <cellStyle name="60% - Accent4 2" xfId="68"/>
    <cellStyle name="60% - Accent5 2" xfId="69"/>
    <cellStyle name="60% - Accent6 2" xfId="70"/>
    <cellStyle name="Comma 3" xfId="71"/>
    <cellStyle name="Comma 2 2" xfId="72"/>
    <cellStyle name="Normal 5" xfId="73"/>
    <cellStyle name="Normal 2 4" xfId="74"/>
    <cellStyle name="Virgül 2 2" xfId="75"/>
    <cellStyle name="Virgül 3 2" xfId="76"/>
    <cellStyle name="Comma 2 3" xfId="77"/>
    <cellStyle name="Virgül 5" xfId="78"/>
    <cellStyle name="Virgül 2 3" xfId="79"/>
    <cellStyle name="ParaBirimi 3" xfId="80"/>
    <cellStyle name="Virgül 3 3" xfId="81"/>
    <cellStyle name="Comma 2 4" xfId="82"/>
    <cellStyle name="Comma 3 2" xfId="83"/>
    <cellStyle name="Comma 2 2 2" xfId="84"/>
    <cellStyle name="Virgül 4 2" xfId="85"/>
    <cellStyle name="Virgül 2 2 2" xfId="86"/>
    <cellStyle name="ParaBirimi 2 2" xfId="87"/>
    <cellStyle name="Virgül 3 2 2" xfId="88"/>
    <cellStyle name="Comma 2 3 2" xfId="89"/>
    <cellStyle name="Virgül 6" xfId="90"/>
    <cellStyle name="Virgül 2 4" xfId="91"/>
    <cellStyle name="ParaBirimi 4" xfId="92"/>
    <cellStyle name="Virgül 3 4" xfId="93"/>
    <cellStyle name="Comma 2 5" xfId="94"/>
    <cellStyle name="Comma 3 3" xfId="95"/>
    <cellStyle name="Comma 2 2 3" xfId="96"/>
    <cellStyle name="Virgül 4 3" xfId="97"/>
    <cellStyle name="Virgül 2 2 3" xfId="98"/>
    <cellStyle name="ParaBirimi 2 3" xfId="99"/>
    <cellStyle name="Virgül 3 2 3" xfId="100"/>
    <cellStyle name="Comma 2 3 3" xfId="101"/>
    <cellStyle name="Virgül 5 2" xfId="102"/>
    <cellStyle name="Virgül 2 3 2" xfId="103"/>
    <cellStyle name="ParaBirimi 3 2" xfId="104"/>
    <cellStyle name="Virgül 3 3 2" xfId="105"/>
    <cellStyle name="Comma 2 4 2" xfId="106"/>
    <cellStyle name="Comma 3 2 2" xfId="107"/>
    <cellStyle name="Comma 2 2 2 2" xfId="108"/>
    <cellStyle name="Virgül 4 2 2" xfId="109"/>
    <cellStyle name="Virgül 2 2 2 2" xfId="110"/>
    <cellStyle name="ParaBirimi 2 2 2" xfId="111"/>
    <cellStyle name="Virgül 3 2 2 2" xfId="112"/>
    <cellStyle name="Comma 2 3 2 2" xfId="113"/>
    <cellStyle name="Virgül 7" xfId="114"/>
    <cellStyle name="Virgül 2 5" xfId="115"/>
    <cellStyle name="ParaBirimi 5" xfId="116"/>
    <cellStyle name="Virgül 3 5" xfId="117"/>
    <cellStyle name="Comma 2 6" xfId="118"/>
    <cellStyle name="Comma 3 4" xfId="119"/>
    <cellStyle name="Comma 2 2 4" xfId="120"/>
    <cellStyle name="Virgül 4 4" xfId="121"/>
    <cellStyle name="Virgül 2 2 4" xfId="122"/>
    <cellStyle name="ParaBirimi 2 4" xfId="123"/>
    <cellStyle name="Virgül 3 2 4" xfId="124"/>
    <cellStyle name="Comma 2 3 4" xfId="125"/>
    <cellStyle name="Virgül 5 3" xfId="126"/>
    <cellStyle name="Virgül 2 3 3" xfId="127"/>
    <cellStyle name="ParaBirimi 3 3" xfId="128"/>
    <cellStyle name="Virgül 3 3 3" xfId="129"/>
    <cellStyle name="Comma 2 4 3" xfId="130"/>
    <cellStyle name="Comma 3 2 3" xfId="131"/>
    <cellStyle name="Comma 2 2 2 3" xfId="132"/>
    <cellStyle name="Virgül 4 2 3" xfId="133"/>
    <cellStyle name="Virgül 2 2 2 3" xfId="134"/>
    <cellStyle name="ParaBirimi 2 2 3" xfId="135"/>
    <cellStyle name="Virgül 3 2 2 3" xfId="136"/>
    <cellStyle name="Comma 2 3 2 3" xfId="13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UNSPED Importer</author>
  </authors>
  <commentList>
    <comment ref="F4" authorId="0" shapeId="0">
      <text>
        <t>🔄 Birim dönüşümü yapıldı:
[2.1_Electricity] Elektrik: 1416240.0 kWh → 1416.240000 MWh</t>
      </text>
    </comment>
  </commentList>
</comments>
</file>

<file path=xl/comments/comment2.xml><?xml version="1.0" encoding="utf-8"?>
<comments xmlns="http://schemas.openxmlformats.org/spreadsheetml/2006/main">
  <authors>
    <author>Yazar</author>
  </authors>
  <commentList>
    <comment ref="W38" authorId="0" shapeId="0">
      <text>
        <t>Yazar:
ton/Gg dönüşümü için 10^-3, kg/ton dönüşümü için 10^3 çarpanları kullanılmıştır.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:B1"/>
    </sheetView>
  </sheetViews>
  <sheetFormatPr baseColWidth="8" defaultRowHeight="15"/>
  <cols>
    <col width="80" customWidth="1" style="92" min="1" max="1"/>
    <col width="20" customWidth="1" style="92" min="2" max="2"/>
  </cols>
  <sheetData>
    <row r="1" ht="44.1" customHeight="1" s="92">
      <c r="A1" s="36" t="inlineStr">
        <is>
          <t>UNSPED — KARBON AYAK İZİ VERİ GİRİŞ ŞABLONU v3</t>
        </is>
      </c>
    </row>
    <row r="3" ht="18" customHeight="1" s="92">
      <c r="A3" s="38" t="inlineStr">
        <is>
          <t>NASIL KULLANILIR</t>
        </is>
      </c>
    </row>
    <row r="4" ht="18" customHeight="1" s="92">
      <c r="A4" s="34" t="n"/>
    </row>
    <row r="5" ht="18" customHeight="1" s="92">
      <c r="A5" s="34" t="inlineStr">
        <is>
          <t>1.  Alt sekmelerde her emisyon kategorisi için ilgili sayfayı açın.</t>
        </is>
      </c>
    </row>
    <row r="6" ht="18" customHeight="1" s="92">
      <c r="A6" s="34" t="inlineStr">
        <is>
          <t>2.  MAVİ hücreleri doldurun. YEŞİL hücreler online'dan otomatik dolar — gerekirse üzerine yazın.</t>
        </is>
      </c>
    </row>
    <row r="7" ht="18" customHeight="1" s="92">
      <c r="A7" s="34" t="inlineStr">
        <is>
          <t>3.  GRİ hücrelere dokunmayın — sistem hesaplar.</t>
        </is>
      </c>
    </row>
    <row r="8" ht="18" customHeight="1" s="92">
      <c r="A8" s="34" t="inlineStr">
        <is>
          <t>4.  Dosyayı kaydedin ve importer'ı çalıştırın:   python pipeline/importer.py</t>
        </is>
      </c>
    </row>
    <row r="9" ht="18" customHeight="1" s="92">
      <c r="A9" s="34" t="inlineStr">
        <is>
          <t>5.  Sistem bu dosyayı okur, DB'den + online'dan emisyon faktörlerini çeker,</t>
        </is>
      </c>
    </row>
    <row r="10" ht="18" customHeight="1" s="92">
      <c r="A10" s="34" t="inlineStr">
        <is>
          <t xml:space="preserve">    CO2e hesaplayıp sonuçları otomatik kaydeder.</t>
        </is>
      </c>
    </row>
    <row r="11" ht="18" customHeight="1" s="92">
      <c r="A11" s="34" t="n"/>
    </row>
    <row r="12" ht="18" customHeight="1" s="92">
      <c r="A12" s="38" t="inlineStr">
        <is>
          <t>RENK KODLARI</t>
        </is>
      </c>
    </row>
    <row r="13" ht="18" customHeight="1" s="92">
      <c r="A13" s="34" t="n"/>
    </row>
    <row r="14" ht="18" customHeight="1" s="92">
      <c r="A14" s="34" t="inlineStr">
        <is>
          <t xml:space="preserve">  🔵 MAVİ     — Siz doldurursunuz (aktivite verisi)</t>
        </is>
      </c>
    </row>
    <row r="15" ht="18" customHeight="1" s="92">
      <c r="A15" s="34" t="inlineStr">
        <is>
          <t xml:space="preserve">  🟢 YEŞİL    — Online'dan otomatik dolar, üzerine yazabilirsiniz (emisyon faktörleri)</t>
        </is>
      </c>
    </row>
    <row r="16" ht="18" customHeight="1" s="92">
      <c r="A16" s="34" t="inlineStr">
        <is>
          <t xml:space="preserve">  ⚪ GRİ      — Hesaplanan, dokunmayın</t>
        </is>
      </c>
    </row>
    <row r="17" ht="18" customHeight="1" s="92">
      <c r="A17" s="34" t="inlineStr">
        <is>
          <t xml:space="preserve">  🟡 SARI     — Toplamlar</t>
        </is>
      </c>
    </row>
    <row r="18" ht="18" customHeight="1" s="92">
      <c r="A18" s="34" t="n"/>
    </row>
    <row r="19" ht="18" customHeight="1" s="92">
      <c r="A19" s="38" t="inlineStr">
        <is>
          <t>SAYFALAR</t>
        </is>
      </c>
    </row>
    <row r="20" ht="18" customHeight="1" s="92">
      <c r="A20" s="34" t="n"/>
    </row>
    <row r="21" ht="18" customHeight="1" s="92">
      <c r="A21" s="34" t="inlineStr">
        <is>
          <t xml:space="preserve">  1.1_Stationary        — Sabit yakma (doğalgaz, motorin, benzin)</t>
        </is>
      </c>
    </row>
    <row r="22" ht="18" customHeight="1" s="92">
      <c r="A22" s="34" t="inlineStr">
        <is>
          <t xml:space="preserve">  1.2_Mobile            — Hareketli yakma (şirket araçları)</t>
        </is>
      </c>
    </row>
    <row r="23" ht="18" customHeight="1" s="92">
      <c r="A23" s="34" t="inlineStr">
        <is>
          <t xml:space="preserve">  1.4_Refrigerants      — Soğutucu gazlar</t>
        </is>
      </c>
    </row>
    <row r="24" ht="18" customHeight="1" s="92">
      <c r="A24" s="34" t="inlineStr">
        <is>
          <t xml:space="preserve">  2.1_Electricity       — Elektrik tüketimi</t>
        </is>
      </c>
    </row>
    <row r="25" ht="18" customHeight="1" s="92">
      <c r="A25" s="34" t="inlineStr">
        <is>
          <t xml:space="preserve">  3.1_Freight           — Hammadde sevkiyatı</t>
        </is>
      </c>
    </row>
    <row r="26" ht="18" customHeight="1" s="92">
      <c r="A26" s="34" t="inlineStr">
        <is>
          <t xml:space="preserve">  3.2_ProductShipment   — Ürün sevkiyatı</t>
        </is>
      </c>
    </row>
    <row r="27" ht="18" customHeight="1" s="92">
      <c r="A27" s="34" t="inlineStr">
        <is>
          <t xml:space="preserve">  3.3_Commuting         — Personel işe gidiş gelişleri</t>
        </is>
      </c>
    </row>
    <row r="28" ht="18" customHeight="1" s="92">
      <c r="A28" s="34" t="inlineStr">
        <is>
          <t xml:space="preserve">  3.4_BusinessTravel    — İş seyahati karayolu</t>
        </is>
      </c>
    </row>
    <row r="29" ht="18" customHeight="1" s="92">
      <c r="A29" s="34" t="inlineStr">
        <is>
          <t xml:space="preserve">  3.5_FlightsHotels     — Uçak &amp; konaklama</t>
        </is>
      </c>
    </row>
    <row r="30" ht="18" customHeight="1" s="92">
      <c r="A30" s="34" t="inlineStr">
        <is>
          <t xml:space="preserve">  4.1_Purchased         — Satın alınan malzemeler</t>
        </is>
      </c>
    </row>
    <row r="31" ht="18" customHeight="1" s="92">
      <c r="A31" s="34" t="inlineStr">
        <is>
          <t xml:space="preserve">  4.2_Capital           — Sermaye varlıkları</t>
        </is>
      </c>
    </row>
    <row r="32" ht="18" customHeight="1" s="92">
      <c r="A32" s="34" t="inlineStr">
        <is>
          <t xml:space="preserve">  4.3_Waste             — Atık bertarafı</t>
        </is>
      </c>
    </row>
    <row r="33" ht="18" customHeight="1" s="92">
      <c r="A33" s="34" t="inlineStr">
        <is>
          <t xml:space="preserve">  4.4_LeasedEquipment   — Kiralanan ekipmanlar</t>
        </is>
      </c>
    </row>
    <row r="34" ht="18" customHeight="1" s="92">
      <c r="A34" s="34" t="inlineStr">
        <is>
          <t xml:space="preserve">  4.5_Services          — Hizmet alımları</t>
        </is>
      </c>
    </row>
    <row r="35" ht="18" customHeight="1" s="92">
      <c r="A35" s="34" t="inlineStr">
        <is>
          <t xml:space="preserve">  6.1_TDLosses          — İletim &amp; dağıtım kayıpları</t>
        </is>
      </c>
    </row>
    <row r="36" ht="18" customHeight="1" s="92">
      <c r="A36" s="34" t="inlineStr">
        <is>
          <t xml:space="preserve">  PERSONNEL             — Lokasyon &amp; personel sayısı ← SİZ GİRİN</t>
        </is>
      </c>
    </row>
    <row r="37" ht="18" customHeight="1" s="92">
      <c r="A37" s="34" t="inlineStr">
        <is>
          <t xml:space="preserve">  TOTAL_EMISSIONS       — Tüm kapsamlar özet toplam</t>
        </is>
      </c>
    </row>
    <row r="38" ht="18" customHeight="1" s="92">
      <c r="A38" s="34" t="inlineStr">
        <is>
          <t xml:space="preserve">  IMPACT_ANALYSIS       — %95 etkili emisyon kaynakları</t>
        </is>
      </c>
    </row>
    <row r="39" ht="18" customHeight="1" s="92">
      <c r="A39" s="34" t="inlineStr">
        <is>
          <t xml:space="preserve">  PER_CAPITA            — Lokasyon başına ton CO2e / kişi</t>
        </is>
      </c>
    </row>
    <row r="40" ht="18" customHeight="1" s="92">
      <c r="A40" s="34" t="n"/>
    </row>
    <row r="41" ht="18" customHeight="1" s="92">
      <c r="A41" s="37" t="inlineStr">
        <is>
          <t>ÖNEMLİ</t>
        </is>
      </c>
    </row>
    <row r="42" ht="18" customHeight="1" s="92">
      <c r="A42" s="34" t="inlineStr">
        <is>
          <t xml:space="preserve">  • Sütun eklemeyin/silmeyin. Sekme adlarını değiştirmeyin.</t>
        </is>
      </c>
    </row>
    <row r="43" ht="18" customHeight="1" s="92">
      <c r="A43" s="34" t="inlineStr">
        <is>
          <t xml:space="preserve">  • Veri tablolarının altına satır ekleyebilirsiniz.</t>
        </is>
      </c>
    </row>
  </sheetData>
  <mergeCells count="42">
    <mergeCell ref="A24:B24"/>
    <mergeCell ref="A30:B30"/>
    <mergeCell ref="A15:B15"/>
    <mergeCell ref="A11:B11"/>
    <mergeCell ref="A36:B36"/>
    <mergeCell ref="A1:B1"/>
    <mergeCell ref="A6:B6"/>
    <mergeCell ref="A16:B16"/>
    <mergeCell ref="A7:B7"/>
    <mergeCell ref="A25:B25"/>
    <mergeCell ref="A41:B41"/>
    <mergeCell ref="A37:B37"/>
    <mergeCell ref="A18:B18"/>
    <mergeCell ref="A27:B27"/>
    <mergeCell ref="A3:B3"/>
    <mergeCell ref="A12:B12"/>
    <mergeCell ref="A26:B26"/>
    <mergeCell ref="A21:B21"/>
    <mergeCell ref="A33:B33"/>
    <mergeCell ref="A42:B42"/>
    <mergeCell ref="A5:B5"/>
    <mergeCell ref="A32:B32"/>
    <mergeCell ref="A14:B14"/>
    <mergeCell ref="A23:B23"/>
    <mergeCell ref="A17:B17"/>
    <mergeCell ref="A8:B8"/>
    <mergeCell ref="A22:B22"/>
    <mergeCell ref="A35:B35"/>
    <mergeCell ref="A4:B4"/>
    <mergeCell ref="A20:B20"/>
    <mergeCell ref="A38:B38"/>
    <mergeCell ref="A29:B29"/>
    <mergeCell ref="A43:B43"/>
    <mergeCell ref="A19:B19"/>
    <mergeCell ref="A10:B10"/>
    <mergeCell ref="A28:B28"/>
    <mergeCell ref="A13:B13"/>
    <mergeCell ref="A40:B40"/>
    <mergeCell ref="A9:B9"/>
    <mergeCell ref="A31:B31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topLeftCell="A2" workbookViewId="0">
      <selection activeCell="R14" sqref="R14"/>
    </sheetView>
  </sheetViews>
  <sheetFormatPr baseColWidth="8" defaultRowHeight="15"/>
  <cols>
    <col width="8" customWidth="1" style="92" min="1" max="1"/>
    <col width="24" customWidth="1" style="92" min="2" max="2"/>
    <col width="18" customWidth="1" style="92" min="3" max="3"/>
    <col width="14" customWidth="1" style="92" min="4" max="4"/>
    <col width="10" customWidth="1" style="92" min="5" max="5"/>
    <col width="14" customWidth="1" style="92" min="6" max="6"/>
    <col width="16" customWidth="1" style="92" min="7" max="9"/>
    <col width="12" customWidth="1" style="92" min="10" max="11"/>
    <col width="16" customWidth="1" style="92" min="12" max="12"/>
    <col width="14" customWidth="1" style="92" min="13" max="13"/>
    <col width="24" customWidth="1" style="92" min="14" max="14"/>
  </cols>
  <sheetData>
    <row r="1" ht="33.95" customHeight="1" s="92">
      <c r="A1" s="44" t="inlineStr">
        <is>
          <t>1.1 — Sabit Yakma Kaynaklı Emisyonlar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Emisyon Kaynağı</t>
        </is>
      </c>
      <c r="C3" s="1" t="inlineStr">
        <is>
          <t>Yakıt Türü</t>
        </is>
      </c>
      <c r="D3" s="1" t="inlineStr">
        <is>
          <t>Miktar</t>
        </is>
      </c>
      <c r="E3" s="45" t="inlineStr">
        <is>
          <t>Birim
🟢
(m³/L/kg/ton)</t>
        </is>
      </c>
      <c r="F3" s="1" t="inlineStr">
        <is>
          <t>NCV
(TJ/Gg)
🟢 Online</t>
        </is>
      </c>
      <c r="G3" s="1" t="inlineStr">
        <is>
          <t>EF CO2
(Ton/TJ)
🟢 Online</t>
        </is>
      </c>
      <c r="H3" s="1" t="inlineStr">
        <is>
          <t>EF CH4
(Ton/TJ)
🟢 Online</t>
        </is>
      </c>
      <c r="I3" s="1" t="inlineStr">
        <is>
          <t>EF N2O
(Ton/TJ)
🟢 Online</t>
        </is>
      </c>
      <c r="J3" s="1" t="inlineStr">
        <is>
          <t>GWP CH4
🟢 Online</t>
        </is>
      </c>
      <c r="K3" s="1" t="inlineStr">
        <is>
          <t>GWP N2O
🟢 Online</t>
        </is>
      </c>
      <c r="L3" s="1" t="inlineStr">
        <is>
          <t>Yoğunluk
(ton/birim)
🟢 Online</t>
        </is>
      </c>
      <c r="M3" s="1" t="inlineStr">
        <is>
          <t>CO2e
(ton)
⚪ Hesaplanan</t>
        </is>
      </c>
      <c r="N3" s="1" t="inlineStr">
        <is>
          <t>Not</t>
        </is>
      </c>
    </row>
    <row r="4" ht="20.1" customHeight="1" s="92">
      <c r="A4" s="57" t="n">
        <v>2023</v>
      </c>
      <c r="B4" s="57" t="inlineStr">
        <is>
          <t>Kombi</t>
        </is>
      </c>
      <c r="C4" s="57" t="inlineStr">
        <is>
          <t>natural_gas</t>
        </is>
      </c>
      <c r="D4" s="57" t="n">
        <v>11064</v>
      </c>
      <c r="E4" s="30" t="inlineStr">
        <is>
          <t>m³</t>
        </is>
      </c>
      <c r="F4" s="58" t="n">
        <v>48</v>
      </c>
      <c r="G4" s="58" t="n">
        <v>56.1</v>
      </c>
      <c r="H4" s="58" t="n">
        <v>0.005</v>
      </c>
      <c r="I4" s="58" t="n">
        <v>0.0001</v>
      </c>
      <c r="J4" s="58" t="n">
        <v>29.8</v>
      </c>
      <c r="K4" s="58" t="n">
        <v>273</v>
      </c>
      <c r="L4" s="58" t="n">
        <v>0.00072</v>
      </c>
      <c r="M4" s="129" t="n">
        <v>21.5185</v>
      </c>
      <c r="N4" s="2" t="inlineStr">
        <is>
          <t>Ana bina ısıtma</t>
        </is>
      </c>
    </row>
    <row r="5" ht="20.1" customHeight="1" s="92">
      <c r="A5" s="57" t="n">
        <v>2023</v>
      </c>
      <c r="B5" s="57" t="inlineStr">
        <is>
          <t>Jeneratörler</t>
        </is>
      </c>
      <c r="C5" s="57" t="inlineStr">
        <is>
          <t>diesel</t>
        </is>
      </c>
      <c r="D5" s="57" t="n">
        <v>432</v>
      </c>
      <c r="E5" s="30" t="inlineStr">
        <is>
          <t>L</t>
        </is>
      </c>
      <c r="F5" s="58" t="n">
        <v>43</v>
      </c>
      <c r="G5" s="58" t="n">
        <v>74.09999999999999</v>
      </c>
      <c r="H5" s="58" t="n">
        <v>0.01</v>
      </c>
      <c r="I5" s="58" t="n">
        <v>0.0005999999999999999</v>
      </c>
      <c r="J5" s="58" t="n">
        <v>29.8</v>
      </c>
      <c r="K5" s="58" t="n">
        <v>273</v>
      </c>
      <c r="L5" s="58" t="n">
        <v>0.000845</v>
      </c>
      <c r="M5" s="129" t="n">
        <v>1.1704</v>
      </c>
      <c r="N5" s="2" t="inlineStr">
        <is>
          <t>Yedek jeneratör</t>
        </is>
      </c>
    </row>
    <row r="6" ht="20.1" customHeight="1" s="92">
      <c r="A6" s="57" t="n">
        <v>2023</v>
      </c>
      <c r="B6" s="57" t="inlineStr">
        <is>
          <t>Yangın Tatb.</t>
        </is>
      </c>
      <c r="C6" s="57" t="inlineStr">
        <is>
          <t>diesel</t>
        </is>
      </c>
      <c r="D6" s="57" t="n">
        <v>15</v>
      </c>
      <c r="E6" s="30" t="inlineStr">
        <is>
          <t>L</t>
        </is>
      </c>
      <c r="F6" s="58" t="n">
        <v>43</v>
      </c>
      <c r="G6" s="58" t="n">
        <v>74.09999999999999</v>
      </c>
      <c r="H6" s="58" t="n">
        <v>0.01</v>
      </c>
      <c r="I6" s="58" t="n">
        <v>0.0005999999999999999</v>
      </c>
      <c r="J6" s="58" t="n">
        <v>29.8</v>
      </c>
      <c r="K6" s="58" t="n">
        <v>273</v>
      </c>
      <c r="L6" s="58" t="n">
        <v>0.000845</v>
      </c>
      <c r="M6" s="129" t="n">
        <v>0.0406</v>
      </c>
      <c r="N6" s="2" t="inlineStr">
        <is>
          <t>Tatbikat</t>
        </is>
      </c>
    </row>
    <row r="7" ht="20.1" customHeight="1" s="92">
      <c r="A7" s="57" t="n">
        <v>2023</v>
      </c>
      <c r="B7" s="57" t="inlineStr">
        <is>
          <t>Yangın Tatb.</t>
        </is>
      </c>
      <c r="C7" s="57" t="inlineStr">
        <is>
          <t>petrol</t>
        </is>
      </c>
      <c r="D7" s="57" t="n">
        <v>5</v>
      </c>
      <c r="E7" s="30" t="inlineStr">
        <is>
          <t>L</t>
        </is>
      </c>
      <c r="F7" s="58" t="n">
        <v>44.3</v>
      </c>
      <c r="G7" s="58" t="n">
        <v>69.3</v>
      </c>
      <c r="H7" s="58" t="n">
        <v>0.01</v>
      </c>
      <c r="I7" s="58" t="n">
        <v>0.0005999999999999999</v>
      </c>
      <c r="J7" s="58" t="n">
        <v>29.8</v>
      </c>
      <c r="K7" s="58" t="n">
        <v>273</v>
      </c>
      <c r="L7" s="58" t="n">
        <v>0.000775</v>
      </c>
      <c r="M7" s="129" t="n">
        <v>0.012</v>
      </c>
      <c r="N7" s="2" t="inlineStr">
        <is>
          <t>Tatbikat</t>
        </is>
      </c>
    </row>
    <row r="8" ht="20.1" customHeight="1" s="92">
      <c r="A8" s="57" t="n"/>
      <c r="B8" s="57" t="n"/>
      <c r="C8" s="57" t="n"/>
      <c r="D8" s="57" t="n"/>
      <c r="E8" s="4" t="n"/>
      <c r="F8" s="58" t="n"/>
      <c r="G8" s="58" t="n"/>
      <c r="H8" s="58" t="n"/>
      <c r="I8" s="58" t="n"/>
      <c r="J8" s="58" t="n"/>
      <c r="K8" s="58" t="n"/>
      <c r="L8" s="58" t="n"/>
      <c r="M8" s="129" t="n">
        <v>16.1311</v>
      </c>
      <c r="N8" s="2" t="n"/>
    </row>
    <row r="9" ht="20.1" customHeight="1" s="92">
      <c r="A9" s="57" t="n">
        <v>2024</v>
      </c>
      <c r="B9" s="57" t="inlineStr">
        <is>
          <t>Kombi</t>
        </is>
      </c>
      <c r="C9" s="57" t="inlineStr">
        <is>
          <t>natural_gas</t>
        </is>
      </c>
      <c r="D9" s="57" t="n">
        <v>8294</v>
      </c>
      <c r="E9" s="30" t="inlineStr">
        <is>
          <t>m³</t>
        </is>
      </c>
      <c r="F9" s="58" t="n">
        <v>48</v>
      </c>
      <c r="G9" s="58" t="n">
        <v>56.1</v>
      </c>
      <c r="H9" s="58" t="n">
        <v>0.005</v>
      </c>
      <c r="I9" s="58" t="n">
        <v>0.0001</v>
      </c>
      <c r="J9" s="58" t="n">
        <v>29.8</v>
      </c>
      <c r="K9" s="58" t="n">
        <v>273</v>
      </c>
      <c r="L9" s="58" t="n">
        <v>0.00072</v>
      </c>
      <c r="M9" s="129" t="n">
        <v>3.7008</v>
      </c>
      <c r="N9" s="2" t="inlineStr">
        <is>
          <t>Ana bina ısıtma</t>
        </is>
      </c>
    </row>
    <row r="10" ht="20.1" customHeight="1" s="92">
      <c r="A10" s="57" t="n">
        <v>2024</v>
      </c>
      <c r="B10" s="57" t="inlineStr">
        <is>
          <t>Jeneratörler</t>
        </is>
      </c>
      <c r="C10" s="57" t="inlineStr">
        <is>
          <t>diesel</t>
        </is>
      </c>
      <c r="D10" s="57" t="n">
        <v>1366</v>
      </c>
      <c r="E10" s="30" t="inlineStr">
        <is>
          <t>L</t>
        </is>
      </c>
      <c r="F10" s="58" t="n">
        <v>43</v>
      </c>
      <c r="G10" s="58" t="n">
        <v>74.09999999999999</v>
      </c>
      <c r="H10" s="58" t="n">
        <v>0.01</v>
      </c>
      <c r="I10" s="58" t="n">
        <v>0.0005999999999999999</v>
      </c>
      <c r="J10" s="58" t="n">
        <v>29.8</v>
      </c>
      <c r="K10" s="58" t="n">
        <v>273</v>
      </c>
      <c r="L10" s="58" t="n">
        <v>0.000845</v>
      </c>
      <c r="M10" s="129" t="n">
        <v>0.0081</v>
      </c>
      <c r="N10" s="2" t="inlineStr">
        <is>
          <t>Yedek jeneratör</t>
        </is>
      </c>
    </row>
    <row r="11" ht="20.1" customHeight="1" s="92">
      <c r="A11" s="57" t="n">
        <v>2024</v>
      </c>
      <c r="B11" s="57" t="inlineStr">
        <is>
          <t>Yangın Tatb.</t>
        </is>
      </c>
      <c r="C11" s="57" t="inlineStr">
        <is>
          <t>diesel</t>
        </is>
      </c>
      <c r="D11" s="57" t="n">
        <v>3</v>
      </c>
      <c r="E11" s="30" t="inlineStr">
        <is>
          <t>L</t>
        </is>
      </c>
      <c r="F11" s="58" t="n">
        <v>43</v>
      </c>
      <c r="G11" s="58" t="n">
        <v>74.09999999999999</v>
      </c>
      <c r="H11" s="58" t="n">
        <v>0.01</v>
      </c>
      <c r="I11" s="58" t="n">
        <v>0.0005999999999999999</v>
      </c>
      <c r="J11" s="58" t="n">
        <v>29.8</v>
      </c>
      <c r="K11" s="58" t="n">
        <v>273</v>
      </c>
      <c r="L11" s="58" t="n">
        <v>0.000845</v>
      </c>
      <c r="M11" s="129" t="n">
        <v>0.0024</v>
      </c>
      <c r="N11" s="2" t="inlineStr">
        <is>
          <t>Tatbikat</t>
        </is>
      </c>
    </row>
    <row r="12">
      <c r="A12" s="57" t="n">
        <v>2024</v>
      </c>
      <c r="B12" s="57" t="inlineStr">
        <is>
          <t>Yangın Tatb.</t>
        </is>
      </c>
      <c r="C12" s="57" t="inlineStr">
        <is>
          <t>petrol</t>
        </is>
      </c>
      <c r="D12" s="57" t="n">
        <v>1</v>
      </c>
      <c r="E12" s="30" t="inlineStr">
        <is>
          <t>L</t>
        </is>
      </c>
      <c r="F12" s="58" t="n">
        <v>44.3</v>
      </c>
      <c r="G12" s="58" t="n">
        <v>69.3</v>
      </c>
      <c r="H12" s="58" t="n">
        <v>0.01</v>
      </c>
      <c r="I12" s="58" t="n">
        <v>0.0005999999999999999</v>
      </c>
      <c r="J12" s="58" t="n">
        <v>29.8</v>
      </c>
      <c r="K12" s="58" t="n">
        <v>273</v>
      </c>
      <c r="L12" s="58" t="n">
        <v>0.000775</v>
      </c>
      <c r="M12" s="129" t="n">
        <v>19.1282</v>
      </c>
      <c r="N12" s="2" t="inlineStr">
        <is>
          <t>Tatbikat</t>
        </is>
      </c>
    </row>
    <row r="13" ht="20.1" customHeight="1" s="92">
      <c r="A13" s="57" t="n"/>
      <c r="B13" s="57" t="n"/>
      <c r="C13" s="57" t="n"/>
      <c r="D13" s="57" t="n"/>
      <c r="E13" s="4" t="n"/>
      <c r="F13" s="58" t="n"/>
      <c r="G13" s="58" t="n"/>
      <c r="H13" s="58" t="n"/>
      <c r="I13" s="58" t="n"/>
      <c r="J13" s="58" t="n"/>
      <c r="K13" s="58" t="n"/>
      <c r="L13" s="58" t="n"/>
      <c r="M13" s="129" t="n">
        <v>8.6694</v>
      </c>
      <c r="N13" s="2" t="n"/>
    </row>
    <row r="14" ht="15" customHeight="1" s="92">
      <c r="A14" s="57" t="n">
        <v>2025</v>
      </c>
      <c r="B14" s="57" t="inlineStr">
        <is>
          <t>Kombi</t>
        </is>
      </c>
      <c r="C14" s="57" t="inlineStr">
        <is>
          <t>natural_gas</t>
        </is>
      </c>
      <c r="D14" s="57" t="n">
        <v>9835</v>
      </c>
      <c r="E14" s="30" t="inlineStr">
        <is>
          <t>m³</t>
        </is>
      </c>
      <c r="F14" s="58" t="n">
        <v>48</v>
      </c>
      <c r="G14" s="58" t="n">
        <v>56.1</v>
      </c>
      <c r="H14" s="58" t="n">
        <v>0.005</v>
      </c>
      <c r="I14" s="58" t="n">
        <v>0.0001</v>
      </c>
      <c r="J14" s="58" t="n">
        <v>29.8</v>
      </c>
      <c r="K14" s="58" t="n">
        <v>273</v>
      </c>
      <c r="L14" s="58" t="n">
        <v>0.00072</v>
      </c>
      <c r="M14" s="129" t="n">
        <v>0.0271</v>
      </c>
      <c r="N14" s="2" t="inlineStr">
        <is>
          <t>Ana bina ısıtma</t>
        </is>
      </c>
    </row>
    <row r="15" ht="15" customHeight="1" s="92">
      <c r="A15" s="57" t="n">
        <v>2025</v>
      </c>
      <c r="B15" s="57" t="inlineStr">
        <is>
          <t>Jeneratörler</t>
        </is>
      </c>
      <c r="C15" s="57" t="inlineStr">
        <is>
          <t>diesel</t>
        </is>
      </c>
      <c r="D15" s="57" t="n">
        <v>3200</v>
      </c>
      <c r="E15" s="30" t="inlineStr">
        <is>
          <t>L</t>
        </is>
      </c>
      <c r="F15" s="58" t="n">
        <v>43</v>
      </c>
      <c r="G15" s="58" t="n">
        <v>74.09999999999999</v>
      </c>
      <c r="H15" s="58" t="n">
        <v>0.01</v>
      </c>
      <c r="I15" s="58" t="n">
        <v>0.0005999999999999999</v>
      </c>
      <c r="J15" s="58" t="n">
        <v>29.8</v>
      </c>
      <c r="K15" s="58" t="n">
        <v>273</v>
      </c>
      <c r="L15" s="58" t="n">
        <v>0.000845</v>
      </c>
      <c r="M15" s="129" t="n">
        <v>0.012</v>
      </c>
      <c r="N15" s="2" t="inlineStr">
        <is>
          <t>Yedek jeneratör</t>
        </is>
      </c>
    </row>
    <row r="16" ht="15" customHeight="1" s="92">
      <c r="A16" s="57" t="n">
        <v>2025</v>
      </c>
      <c r="B16" s="57" t="inlineStr">
        <is>
          <t>Yangın Tatb.</t>
        </is>
      </c>
      <c r="C16" s="57" t="inlineStr">
        <is>
          <t>diesel</t>
        </is>
      </c>
      <c r="D16" s="57" t="n">
        <v>10</v>
      </c>
      <c r="E16" s="30" t="inlineStr">
        <is>
          <t>L</t>
        </is>
      </c>
      <c r="F16" s="58" t="n">
        <v>43</v>
      </c>
      <c r="G16" s="58" t="n">
        <v>74.09999999999999</v>
      </c>
      <c r="H16" s="58" t="n">
        <v>0.01</v>
      </c>
      <c r="I16" s="58" t="n">
        <v>0.0005999999999999999</v>
      </c>
      <c r="J16" s="58" t="n">
        <v>29.8</v>
      </c>
      <c r="K16" s="58" t="n">
        <v>273</v>
      </c>
      <c r="L16" s="58" t="n">
        <v>0.000845</v>
      </c>
      <c r="M16" s="33">
        <f>IF(OR(D16=0,F16=0),0,((D16*IF(OR(LOWER(E16)="m³",LOWER(E16)="m3",LOWER(E16)="l",LOWER(E16)="lt"),L16,IF(OR(LOWER(E16)="kg"),0.001,IF(OR(LOWER(E16)="ton",LOWER(E16)="tonne"),1,L16)))/1000)*F16)*G16+((D16*IF(OR(LOWER(E16)="m³",LOWER(E16)="m3",LOWER(E16)="l",LOWER(E16)="lt"),L16,IF(OR(LOWER(E16)="kg"),0.001,IF(OR(LOWER(E16)="ton",LOWER(E16)="tonne"),1,L16)))/1000)*F16)*H16*J16+((D16*IF(OR(LOWER(E16)="m³",LOWER(E16)="m3",LOWER(E16)="l",LOWER(E16)="lt"),L16,IF(OR(LOWER(E16)="kg"),0.001,IF(OR(LOWER(E16)="ton",LOWER(E16)="tonne"),1,L16)))/1000)*F16)*I16*K16)</f>
        <v/>
      </c>
      <c r="N16" s="2" t="inlineStr">
        <is>
          <t>Tatbikat</t>
        </is>
      </c>
    </row>
    <row r="17" ht="15" customHeight="1" s="92">
      <c r="A17" s="57" t="n">
        <v>2025</v>
      </c>
      <c r="B17" s="57" t="inlineStr">
        <is>
          <t>Yangın Tatb.</t>
        </is>
      </c>
      <c r="C17" s="57" t="inlineStr">
        <is>
          <t>petrol</t>
        </is>
      </c>
      <c r="D17" s="57" t="n">
        <v>5</v>
      </c>
      <c r="E17" s="30" t="inlineStr">
        <is>
          <t>L</t>
        </is>
      </c>
      <c r="F17" s="58" t="n">
        <v>44.3</v>
      </c>
      <c r="G17" s="58" t="n">
        <v>69.3</v>
      </c>
      <c r="H17" s="58" t="n">
        <v>0.01</v>
      </c>
      <c r="I17" s="58" t="n">
        <v>0.0005999999999999999</v>
      </c>
      <c r="J17" s="58" t="n">
        <v>29.8</v>
      </c>
      <c r="K17" s="58" t="n">
        <v>273</v>
      </c>
      <c r="L17" s="58" t="n">
        <v>0.000775</v>
      </c>
      <c r="M17" s="33">
        <f>IF(OR(D17=0,F17=0),0,((D17*IF(OR(LOWER(E17)="m³",LOWER(E17)="m3",LOWER(E17)="l",LOWER(E17)="lt"),L17,IF(OR(LOWER(E17)="kg"),0.001,IF(OR(LOWER(E17)="ton",LOWER(E17)="tonne"),1,L17)))/1000)*F17)*G17+((D17*IF(OR(LOWER(E17)="m³",LOWER(E17)="m3",LOWER(E17)="l",LOWER(E17)="lt"),L17,IF(OR(LOWER(E17)="kg"),0.001,IF(OR(LOWER(E17)="ton",LOWER(E17)="tonne"),1,L17)))/1000)*F17)*H17*J17+((D17*IF(OR(LOWER(E17)="m³",LOWER(E17)="m3",LOWER(E17)="l",LOWER(E17)="lt"),L17,IF(OR(LOWER(E17)="kg"),0.001,IF(OR(LOWER(E17)="ton",LOWER(E17)="tonne"),1,L17)))/1000)*F17)*I17*K17)</f>
        <v/>
      </c>
      <c r="N17" s="2" t="inlineStr">
        <is>
          <t>Tatbikat</t>
        </is>
      </c>
    </row>
    <row r="18">
      <c r="A18" s="2" t="n"/>
      <c r="B18" s="2" t="n"/>
      <c r="C18" s="2" t="n"/>
      <c r="D18" s="2" t="n"/>
      <c r="E18" s="4" t="n"/>
      <c r="F18" s="4" t="n"/>
      <c r="G18" s="4" t="n"/>
      <c r="H18" s="4" t="n"/>
      <c r="I18" s="4" t="n"/>
      <c r="J18" s="4" t="n"/>
      <c r="K18" s="4" t="n"/>
      <c r="L18" s="4" t="n"/>
      <c r="M18" s="33">
        <f>IF(OR(D18=0,F18=0),0,((D18*IF(OR(LOWER(E18)="m³",LOWER(E18)="m3",LOWER(E18)="l",LOWER(E18)="lt"),L18,IF(OR(LOWER(E18)="kg"),0.001,IF(OR(LOWER(E18)="ton",LOWER(E18)="tonne"),1,L18)))/1000)*F18)*G18+((D18*IF(OR(LOWER(E18)="m³",LOWER(E18)="m3",LOWER(E18)="l",LOWER(E18)="lt"),L18,IF(OR(LOWER(E18)="kg"),0.001,IF(OR(LOWER(E18)="ton",LOWER(E18)="tonne"),1,L18)))/1000)*F18)*H18*J18+((D18*IF(OR(LOWER(E18)="m³",LOWER(E18)="m3",LOWER(E18)="l",LOWER(E18)="lt"),L18,IF(OR(LOWER(E18)="kg"),0.001,IF(OR(LOWER(E18)="ton",LOWER(E18)="tonne"),1,L18)))/1000)*F18)*I18*K18)</f>
        <v/>
      </c>
      <c r="N18" s="2" t="n"/>
    </row>
    <row r="19" ht="15.95" customHeight="1" s="92">
      <c r="A19" s="2" t="n"/>
      <c r="B19" s="2" t="n"/>
      <c r="C19" s="2" t="n"/>
      <c r="D19" s="2" t="n"/>
      <c r="E19" s="4" t="n"/>
      <c r="F19" s="4" t="n"/>
      <c r="G19" s="4" t="n"/>
      <c r="H19" s="4" t="n"/>
      <c r="I19" s="4" t="n"/>
      <c r="J19" s="4" t="n"/>
      <c r="K19" s="4" t="n"/>
      <c r="L19" s="4" t="n"/>
      <c r="M19" s="33">
        <f>IF(OR(D19=0,F19=0),0,((D19*IF(OR(LOWER(E19)="m³",LOWER(E19)="m3",LOWER(E19)="l",LOWER(E19)="lt"),L19,IF(OR(LOWER(E19)="kg"),0.001,IF(OR(LOWER(E19)="ton",LOWER(E19)="tonne"),1,L19)))/1000)*F19)*G19+((D19*IF(OR(LOWER(E19)="m³",LOWER(E19)="m3",LOWER(E19)="l",LOWER(E19)="lt"),L19,IF(OR(LOWER(E19)="kg"),0.001,IF(OR(LOWER(E19)="ton",LOWER(E19)="tonne"),1,L19)))/1000)*F19)*H19*J19+((D19*IF(OR(LOWER(E19)="m³",LOWER(E19)="m3",LOWER(E19)="l",LOWER(E19)="lt"),L19,IF(OR(LOWER(E19)="kg"),0.001,IF(OR(LOWER(E19)="ton",LOWER(E19)="tonne"),1,L19)))/1000)*F19)*I19*K19)</f>
        <v/>
      </c>
      <c r="N19" s="2" t="n"/>
    </row>
    <row r="20" ht="15.95" customHeight="1" s="92">
      <c r="A20" s="2" t="n"/>
      <c r="B20" s="2" t="n"/>
      <c r="C20" s="2" t="n"/>
      <c r="D20" s="2" t="n"/>
      <c r="E20" s="4" t="n"/>
      <c r="F20" s="4" t="n"/>
      <c r="G20" s="4" t="n"/>
      <c r="H20" s="4" t="n"/>
      <c r="I20" s="4" t="n"/>
      <c r="J20" s="4" t="n"/>
      <c r="K20" s="4" t="n"/>
      <c r="L20" s="4" t="n"/>
      <c r="M20" s="33">
        <f>IF(OR(D20=0,F20=0),0,((D20*IF(OR(LOWER(E20)="m³",LOWER(E20)="m3",LOWER(E20)="l",LOWER(E20)="lt"),L20,IF(OR(LOWER(E20)="kg"),0.001,IF(OR(LOWER(E20)="ton",LOWER(E20)="tonne"),1,L20)))/1000)*F20)*G20+((D20*IF(OR(LOWER(E20)="m³",LOWER(E20)="m3",LOWER(E20)="l",LOWER(E20)="lt"),L20,IF(OR(LOWER(E20)="kg"),0.001,IF(OR(LOWER(E20)="ton",LOWER(E20)="tonne"),1,L20)))/1000)*F20)*H20*J20+((D20*IF(OR(LOWER(E20)="m³",LOWER(E20)="m3",LOWER(E20)="l",LOWER(E20)="lt"),L20,IF(OR(LOWER(E20)="kg"),0.001,IF(OR(LOWER(E20)="ton",LOWER(E20)="tonne"),1,L20)))/1000)*F20)*I20*K20)</f>
        <v/>
      </c>
      <c r="N20" s="2" t="n"/>
    </row>
    <row r="21" ht="15.95" customHeight="1" s="92"/>
    <row r="22" ht="15.95" customHeight="1" s="92"/>
    <row r="23"/>
    <row r="24"/>
    <row r="25"/>
    <row r="26"/>
    <row r="27"/>
    <row r="28"/>
    <row r="29"/>
    <row r="30"/>
    <row r="31"/>
    <row r="32">
      <c r="A32" s="107" t="inlineStr">
        <is>
          <t>NOTLAR VE KAYNAKLAR</t>
        </is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6" t="n"/>
    </row>
    <row r="33">
      <c r="A33" s="53" t="inlineStr">
        <is>
          <t>• YEŞİL hücreler (NCV, EF, GWP, Yoğunluk) importer çalıştığında online'dan otomatik güncellenir.</t>
        </is>
      </c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</row>
    <row r="34">
      <c r="A34" s="39" t="inlineStr">
        <is>
          <t>• İstediğiniz değeri manuel olarak üzerine yazabilirsiniz — sistem DB'ye kaydeder.</t>
        </is>
      </c>
    </row>
    <row r="35">
      <c r="A35" s="39" t="inlineStr">
        <is>
          <t>• Yakıt türü: natural_gas (m³) | diesel (L) | petrol (L)</t>
        </is>
      </c>
    </row>
    <row r="36">
      <c r="A36" s="39" t="inlineStr">
        <is>
          <t>• Kaynak: IPCC 2006 Kılavuzu REF#3 &amp; REF#5</t>
        </is>
      </c>
    </row>
    <row r="37"/>
    <row r="38">
      <c r="A38" s="5" t="n"/>
      <c r="B38" s="6" t="inlineStr">
        <is>
          <t>← YOU FILL THESE (blue)</t>
        </is>
      </c>
    </row>
    <row r="39">
      <c r="A39" s="7" t="n"/>
      <c r="B39" s="8" t="inlineStr">
        <is>
          <t>← AUTO-FILLED FROM ONLINE — you can override (green)</t>
        </is>
      </c>
    </row>
    <row r="40">
      <c r="A40" s="9" t="n"/>
      <c r="B40" s="10" t="inlineStr">
        <is>
          <t>← DO NOT EDIT — calculated by system (grey)</t>
        </is>
      </c>
    </row>
    <row r="41">
      <c r="A41" s="11" t="n"/>
      <c r="B41" s="12" t="inlineStr">
        <is>
          <t>← TOTALS (yellow)</t>
        </is>
      </c>
    </row>
  </sheetData>
  <mergeCells count="7">
    <mergeCell ref="A34:N34"/>
    <mergeCell ref="A35:N35"/>
    <mergeCell ref="A2:N2"/>
    <mergeCell ref="A33:N33"/>
    <mergeCell ref="A32:N32"/>
    <mergeCell ref="A36:N3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N19" sqref="N19"/>
    </sheetView>
  </sheetViews>
  <sheetFormatPr baseColWidth="8" defaultRowHeight="15"/>
  <cols>
    <col width="8" customWidth="1" style="92" min="1" max="1"/>
    <col width="24" customWidth="1" style="92" min="2" max="2"/>
    <col width="18" customWidth="1" style="92" min="3" max="3"/>
    <col width="14" customWidth="1" style="92" min="4" max="4"/>
    <col width="10" customWidth="1" style="92" min="5" max="5"/>
    <col width="14" customWidth="1" style="92" min="6" max="6"/>
    <col width="16" customWidth="1" style="92" min="7" max="9"/>
    <col width="12" customWidth="1" style="92" min="10" max="11"/>
    <col width="16" customWidth="1" style="92" min="12" max="12"/>
    <col width="14" customWidth="1" style="92" min="13" max="13"/>
    <col width="24" customWidth="1" style="92" min="14" max="14"/>
  </cols>
  <sheetData>
    <row r="1" ht="33.95" customHeight="1" s="92">
      <c r="A1" s="44" t="inlineStr">
        <is>
          <t>1.2 — Hareketli Yakma — Şirket Araçları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Emisyon Kaynağı</t>
        </is>
      </c>
      <c r="C3" s="1" t="inlineStr">
        <is>
          <t>Yakıt Türü</t>
        </is>
      </c>
      <c r="D3" s="1" t="inlineStr">
        <is>
          <t>Miktar</t>
        </is>
      </c>
      <c r="E3" s="45" t="inlineStr">
        <is>
          <t>Birim
🟢
(m³/L/kg/ton)</t>
        </is>
      </c>
      <c r="F3" s="1" t="inlineStr">
        <is>
          <t>NCV
(TJ/Gg)
🟢 Online</t>
        </is>
      </c>
      <c r="G3" s="1" t="inlineStr">
        <is>
          <t>EF CO2
(Ton/TJ)
🟢 Online</t>
        </is>
      </c>
      <c r="H3" s="1" t="inlineStr">
        <is>
          <t>EF CH4
(Ton/TJ)
🟢 Online</t>
        </is>
      </c>
      <c r="I3" s="1" t="inlineStr">
        <is>
          <t>EF N2O
(Ton/TJ)
🟢 Online</t>
        </is>
      </c>
      <c r="J3" s="1" t="inlineStr">
        <is>
          <t>GWP CH4
🟢 Online</t>
        </is>
      </c>
      <c r="K3" s="1" t="inlineStr">
        <is>
          <t>GWP N2O
🟢 Online</t>
        </is>
      </c>
      <c r="L3" s="1" t="inlineStr">
        <is>
          <t>Yoğunluk
(ton/birim)
🟢 Online</t>
        </is>
      </c>
      <c r="M3" s="1" t="inlineStr">
        <is>
          <t>CO2e
(ton)
⚪ Hesaplanan</t>
        </is>
      </c>
      <c r="N3" s="1" t="inlineStr">
        <is>
          <t>Not</t>
        </is>
      </c>
    </row>
    <row r="4" ht="20.1" customHeight="1" s="92">
      <c r="A4" s="57" t="n">
        <v>2023</v>
      </c>
      <c r="B4" s="57" t="inlineStr">
        <is>
          <t>Binek Araçlar</t>
        </is>
      </c>
      <c r="C4" s="57" t="inlineStr">
        <is>
          <t>petrol</t>
        </is>
      </c>
      <c r="D4" s="57" t="n">
        <v>87312.66</v>
      </c>
      <c r="E4" s="30" t="inlineStr">
        <is>
          <t>L</t>
        </is>
      </c>
      <c r="F4" s="58" t="n">
        <v>44.3</v>
      </c>
      <c r="G4" s="58" t="n">
        <v>69.3</v>
      </c>
      <c r="H4" s="58" t="n">
        <v>0.025</v>
      </c>
      <c r="I4" s="58" t="n">
        <v>0.008</v>
      </c>
      <c r="J4" s="58" t="n">
        <v>29.8</v>
      </c>
      <c r="K4" s="58" t="n">
        <v>273</v>
      </c>
      <c r="L4" s="58" t="n">
        <v>0.000775</v>
      </c>
      <c r="M4" s="129" t="n">
        <v>216.5181</v>
      </c>
      <c r="N4" s="2" t="inlineStr">
        <is>
          <t>Benzin araçlar</t>
        </is>
      </c>
    </row>
    <row r="5" ht="20.1" customHeight="1" s="92">
      <c r="A5" s="57" t="n">
        <v>2023</v>
      </c>
      <c r="B5" s="57" t="inlineStr">
        <is>
          <t>Binek Araçlar</t>
        </is>
      </c>
      <c r="C5" s="57" t="inlineStr">
        <is>
          <t>diesel</t>
        </is>
      </c>
      <c r="D5" s="57" t="n">
        <v>122850.92</v>
      </c>
      <c r="E5" s="30" t="inlineStr">
        <is>
          <t>L</t>
        </is>
      </c>
      <c r="F5" s="58" t="n">
        <v>43</v>
      </c>
      <c r="G5" s="58" t="n">
        <v>74.09999999999999</v>
      </c>
      <c r="H5" s="58" t="n">
        <v>0.0039</v>
      </c>
      <c r="I5" s="58" t="n">
        <v>0.0039</v>
      </c>
      <c r="J5" s="58" t="n">
        <v>29.8</v>
      </c>
      <c r="K5" s="58" t="n">
        <v>273</v>
      </c>
      <c r="L5" s="58" t="n">
        <v>0.000845</v>
      </c>
      <c r="M5" s="129" t="n">
        <v>336.0381</v>
      </c>
      <c r="N5" s="2" t="inlineStr">
        <is>
          <t>Dizel araçlar</t>
        </is>
      </c>
    </row>
    <row r="6" ht="20.1" customHeight="1" s="92">
      <c r="A6" s="57" t="n"/>
      <c r="B6" s="57" t="n"/>
      <c r="C6" s="57" t="n"/>
      <c r="D6" s="57" t="n"/>
      <c r="E6" s="4" t="n"/>
      <c r="F6" s="4" t="n"/>
      <c r="G6" s="4" t="n"/>
      <c r="H6" s="4" t="n"/>
      <c r="I6" s="4" t="n"/>
      <c r="J6" s="4" t="n"/>
      <c r="K6" s="4" t="n"/>
      <c r="L6" s="4" t="n"/>
      <c r="M6" s="129" t="n">
        <v>346.0144</v>
      </c>
      <c r="N6" s="2" t="n"/>
    </row>
    <row r="7" ht="20.1" customHeight="1" s="92">
      <c r="A7" s="57" t="n">
        <v>2024</v>
      </c>
      <c r="B7" s="57" t="inlineStr">
        <is>
          <t>Binek Araçlar</t>
        </is>
      </c>
      <c r="C7" s="57" t="inlineStr">
        <is>
          <t>petrol</t>
        </is>
      </c>
      <c r="D7" s="57" t="n">
        <v>139533.08</v>
      </c>
      <c r="E7" s="30" t="inlineStr">
        <is>
          <t>L</t>
        </is>
      </c>
      <c r="F7" s="58" t="n">
        <v>44.3</v>
      </c>
      <c r="G7" s="58" t="n">
        <v>69.3</v>
      </c>
      <c r="H7" s="58" t="n">
        <v>0.025</v>
      </c>
      <c r="I7" s="58" t="n">
        <v>0.008</v>
      </c>
      <c r="J7" s="58" t="n">
        <v>29.8</v>
      </c>
      <c r="K7" s="58" t="n">
        <v>273</v>
      </c>
      <c r="L7" s="58" t="n">
        <v>0.000775</v>
      </c>
      <c r="M7" s="129" t="n">
        <v>199.3378</v>
      </c>
      <c r="N7" s="2" t="inlineStr">
        <is>
          <t>Benzin araçlar</t>
        </is>
      </c>
    </row>
    <row r="8" ht="20.1" customHeight="1" s="92">
      <c r="A8" s="57" t="n">
        <v>2024</v>
      </c>
      <c r="B8" s="57" t="inlineStr">
        <is>
          <t>Binek Araçlar</t>
        </is>
      </c>
      <c r="C8" s="57" t="inlineStr">
        <is>
          <t>diesel</t>
        </is>
      </c>
      <c r="D8" s="57" t="n">
        <v>72875.17999999999</v>
      </c>
      <c r="E8" s="30" t="inlineStr">
        <is>
          <t>L</t>
        </is>
      </c>
      <c r="F8" s="58" t="n">
        <v>43</v>
      </c>
      <c r="G8" s="58" t="n">
        <v>74.09999999999999</v>
      </c>
      <c r="H8" s="58" t="n">
        <v>0.0039</v>
      </c>
      <c r="I8" s="58" t="n">
        <v>0.0039</v>
      </c>
      <c r="J8" s="58" t="n">
        <v>29.8</v>
      </c>
      <c r="K8" s="58" t="n">
        <v>273</v>
      </c>
      <c r="L8" s="58" t="n">
        <v>0.000845</v>
      </c>
      <c r="M8" s="129" t="n">
        <v>374.5012</v>
      </c>
      <c r="N8" s="2" t="inlineStr">
        <is>
          <t>Dizel araçlar</t>
        </is>
      </c>
    </row>
    <row r="9" ht="20.1" customHeight="1" s="92">
      <c r="A9" s="57" t="n"/>
      <c r="B9" s="57" t="n"/>
      <c r="C9" s="57" t="n"/>
      <c r="D9" s="57" t="n"/>
      <c r="E9" s="4" t="n"/>
      <c r="F9" s="4" t="n"/>
      <c r="G9" s="4" t="n"/>
      <c r="H9" s="4" t="n"/>
      <c r="I9" s="4" t="n"/>
      <c r="J9" s="4" t="n"/>
      <c r="K9" s="4" t="n"/>
      <c r="L9" s="4" t="n"/>
      <c r="M9" s="129" t="n">
        <v>214.9254</v>
      </c>
      <c r="N9" s="2" t="n"/>
    </row>
    <row r="10">
      <c r="A10" s="57" t="n">
        <v>2025</v>
      </c>
      <c r="B10" s="57" t="inlineStr">
        <is>
          <t>Binek Araçlar</t>
        </is>
      </c>
      <c r="C10" s="57" t="inlineStr">
        <is>
          <t>petrol</t>
        </is>
      </c>
      <c r="D10" s="57" t="n">
        <v>151020.58</v>
      </c>
      <c r="E10" s="30" t="inlineStr">
        <is>
          <t>L</t>
        </is>
      </c>
      <c r="F10" s="58" t="n">
        <v>44.3</v>
      </c>
      <c r="G10" s="58" t="n">
        <v>69.3</v>
      </c>
      <c r="H10" s="58" t="n">
        <v>0.025</v>
      </c>
      <c r="I10" s="58" t="n">
        <v>0.008</v>
      </c>
      <c r="J10" s="58" t="n">
        <v>29.8</v>
      </c>
      <c r="K10" s="58" t="n">
        <v>273</v>
      </c>
      <c r="L10" s="58" t="n">
        <v>0.000775</v>
      </c>
      <c r="M10" s="33">
        <f>IF(OR(D10=0,F10=0),0,((D10*IF(OR(LOWER(E10)="m³",LOWER(E10)="m3",LOWER(E10)="l",LOWER(E10)="lt"),L10,IF(OR(LOWER(E10)="kg"),0.001,IF(OR(LOWER(E10)="ton",LOWER(E10)="tonne"),1,L10)))/1000)*F10)*G10+((D10*IF(OR(LOWER(E10)="m³",LOWER(E10)="m3",LOWER(E10)="l",LOWER(E10)="lt"),L10,IF(OR(LOWER(E10)="kg"),0.001,IF(OR(LOWER(E10)="ton",LOWER(E10)="tonne"),1,L10)))/1000)*F10)*H10*J10+((D10*IF(OR(LOWER(E10)="m³",LOWER(E10)="m3",LOWER(E10)="l",LOWER(E10)="lt"),L10,IF(OR(LOWER(E10)="kg"),0.001,IF(OR(LOWER(E10)="ton",LOWER(E10)="tonne"),1,L10)))/1000)*F10)*I10*K10)</f>
        <v/>
      </c>
      <c r="N10" s="2" t="inlineStr">
        <is>
          <t>Benzin araçlar</t>
        </is>
      </c>
    </row>
    <row r="11" ht="20.1" customHeight="1" s="92">
      <c r="A11" s="57" t="n">
        <v>2025</v>
      </c>
      <c r="B11" s="57" t="inlineStr">
        <is>
          <t>Binek Araçlar</t>
        </is>
      </c>
      <c r="C11" s="57" t="inlineStr">
        <is>
          <t>diesel</t>
        </is>
      </c>
      <c r="D11" s="57" t="n">
        <v>78573.77</v>
      </c>
      <c r="E11" s="30" t="inlineStr">
        <is>
          <t>L</t>
        </is>
      </c>
      <c r="F11" s="58" t="n">
        <v>43</v>
      </c>
      <c r="G11" s="58" t="n">
        <v>74.09999999999999</v>
      </c>
      <c r="H11" s="58" t="n">
        <v>0.0039</v>
      </c>
      <c r="I11" s="58" t="n">
        <v>0.0039</v>
      </c>
      <c r="J11" s="58" t="n">
        <v>29.8</v>
      </c>
      <c r="K11" s="58" t="n">
        <v>273</v>
      </c>
      <c r="L11" s="58" t="n">
        <v>0.000845</v>
      </c>
      <c r="M11" s="33">
        <f>IF(OR(D11=0,F11=0),0,((D11*IF(OR(LOWER(E11)="m³",LOWER(E11)="m3",LOWER(E11)="l",LOWER(E11)="lt"),L11,IF(OR(LOWER(E11)="kg"),0.001,IF(OR(LOWER(E11)="ton",LOWER(E11)="tonne"),1,L11)))/1000)*F11)*G11+((D11*IF(OR(LOWER(E11)="m³",LOWER(E11)="m3",LOWER(E11)="l",LOWER(E11)="lt"),L11,IF(OR(LOWER(E11)="kg"),0.001,IF(OR(LOWER(E11)="ton",LOWER(E11)="tonne"),1,L11)))/1000)*F11)*H11*J11+((D11*IF(OR(LOWER(E11)="m³",LOWER(E11)="m3",LOWER(E11)="l",LOWER(E11)="lt"),L11,IF(OR(LOWER(E11)="kg"),0.001,IF(OR(LOWER(E11)="ton",LOWER(E11)="tonne"),1,L11)))/1000)*F11)*I11*K11)</f>
        <v/>
      </c>
      <c r="N11" s="2" t="inlineStr">
        <is>
          <t>Dizel araçlar</t>
        </is>
      </c>
    </row>
    <row r="12" ht="15" customHeight="1" s="92">
      <c r="A12" s="2" t="n"/>
      <c r="B12" s="2" t="n"/>
      <c r="C12" s="2" t="n"/>
      <c r="D12" s="2" t="n"/>
      <c r="E12" s="4" t="n"/>
      <c r="F12" s="4" t="n"/>
      <c r="G12" s="4" t="n"/>
      <c r="H12" s="4" t="n"/>
      <c r="I12" s="4" t="n"/>
      <c r="J12" s="4" t="n"/>
      <c r="K12" s="4" t="n"/>
      <c r="L12" s="4" t="n"/>
      <c r="M12" s="33">
        <f>IF(OR(D12=0,F12=0),0,((D12*IF(OR(LOWER(E12)="m³",LOWER(E12)="m3",LOWER(E12)="l",LOWER(E12)="lt"),L12,IF(OR(LOWER(E12)="kg"),0.001,IF(OR(LOWER(E12)="ton",LOWER(E12)="tonne"),1,L12)))/1000)*F12)*G12+((D12*IF(OR(LOWER(E12)="m³",LOWER(E12)="m3",LOWER(E12)="l",LOWER(E12)="lt"),L12,IF(OR(LOWER(E12)="kg"),0.001,IF(OR(LOWER(E12)="ton",LOWER(E12)="tonne"),1,L12)))/1000)*F12)*H12*J12+((D12*IF(OR(LOWER(E12)="m³",LOWER(E12)="m3",LOWER(E12)="l",LOWER(E12)="lt"),L12,IF(OR(LOWER(E12)="kg"),0.001,IF(OR(LOWER(E12)="ton",LOWER(E12)="tonne"),1,L12)))/1000)*F12)*I12*K12)</f>
        <v/>
      </c>
      <c r="N12" s="2" t="n"/>
    </row>
    <row r="13" ht="15" customHeight="1" s="92">
      <c r="A13" s="2" t="n"/>
      <c r="B13" s="2" t="n"/>
      <c r="C13" s="2" t="n"/>
      <c r="D13" s="2" t="n"/>
      <c r="E13" s="4" t="n"/>
      <c r="F13" s="4" t="n"/>
      <c r="G13" s="4" t="n"/>
      <c r="H13" s="4" t="n"/>
      <c r="I13" s="4" t="n"/>
      <c r="J13" s="4" t="n"/>
      <c r="K13" s="4" t="n"/>
      <c r="L13" s="4" t="n"/>
      <c r="M13" s="33">
        <f>IF(OR(D13=0,F13=0),0,((D13*IF(OR(LOWER(E13)="m³",LOWER(E13)="m3",LOWER(E13)="l",LOWER(E13)="lt"),L13,IF(OR(LOWER(E13)="kg"),0.001,IF(OR(LOWER(E13)="ton",LOWER(E13)="tonne"),1,L13)))/1000)*F13)*G13+((D13*IF(OR(LOWER(E13)="m³",LOWER(E13)="m3",LOWER(E13)="l",LOWER(E13)="lt"),L13,IF(OR(LOWER(E13)="kg"),0.001,IF(OR(LOWER(E13)="ton",LOWER(E13)="tonne"),1,L13)))/1000)*F13)*H13*J13+((D13*IF(OR(LOWER(E13)="m³",LOWER(E13)="m3",LOWER(E13)="l",LOWER(E13)="lt"),L13,IF(OR(LOWER(E13)="kg"),0.001,IF(OR(LOWER(E13)="ton",LOWER(E13)="tonne"),1,L13)))/1000)*F13)*I13*K13)</f>
        <v/>
      </c>
      <c r="N13" s="2" t="n"/>
    </row>
    <row r="14" ht="15" customHeight="1" s="92"/>
    <row r="15"/>
    <row r="16" ht="15.95" customHeight="1" s="92"/>
    <row r="17" ht="15.95" customHeight="1" s="92"/>
    <row r="18" ht="15.95" customHeight="1" s="92"/>
    <row r="19" ht="15.95" customHeight="1" s="92"/>
    <row r="20"/>
    <row r="21"/>
    <row r="22"/>
    <row r="23"/>
    <row r="24"/>
    <row r="25"/>
    <row r="26"/>
    <row r="27"/>
    <row r="28"/>
    <row r="29"/>
    <row r="30"/>
    <row r="31"/>
    <row r="32">
      <c r="A32" s="107" t="inlineStr">
        <is>
          <t>NOTLAR VE KAYNAKLAR</t>
        </is>
      </c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6" t="n"/>
    </row>
    <row r="33">
      <c r="A33" s="39" t="inlineStr">
        <is>
          <t>• YEŞİL hücreler otomatik güncellenir, üzerine yazılabilir.</t>
        </is>
      </c>
    </row>
    <row r="34">
      <c r="A34" s="39" t="inlineStr">
        <is>
          <t>• Yakıt türü: petrol (L) | diesel (L)</t>
        </is>
      </c>
    </row>
    <row r="35">
      <c r="A35" s="39" t="inlineStr">
        <is>
          <t>• Kaynak: IPCC 2006 REF#3 &amp; REF#5</t>
        </is>
      </c>
    </row>
    <row r="36"/>
    <row r="37">
      <c r="A37" s="5" t="n"/>
      <c r="B37" s="6" t="inlineStr">
        <is>
          <t>← YOU FILL THESE (blue)</t>
        </is>
      </c>
    </row>
    <row r="38">
      <c r="A38" s="7" t="n"/>
      <c r="B38" s="8" t="inlineStr">
        <is>
          <t>← AUTO-FILLED FROM ONLINE — you can override (green)</t>
        </is>
      </c>
    </row>
    <row r="39">
      <c r="A39" s="9" t="n"/>
      <c r="B39" s="10" t="inlineStr">
        <is>
          <t>← DO NOT EDIT — calculated by system (grey)</t>
        </is>
      </c>
    </row>
    <row r="40">
      <c r="A40" s="11" t="n"/>
      <c r="B40" s="12" t="inlineStr">
        <is>
          <t>← TOTALS (yellow)</t>
        </is>
      </c>
    </row>
  </sheetData>
  <mergeCells count="6">
    <mergeCell ref="A34:N34"/>
    <mergeCell ref="A35:N35"/>
    <mergeCell ref="A2:N2"/>
    <mergeCell ref="A33:N33"/>
    <mergeCell ref="A32:N3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P19" sqref="P19"/>
    </sheetView>
  </sheetViews>
  <sheetFormatPr baseColWidth="8" defaultRowHeight="15"/>
  <cols>
    <col width="8" customWidth="1" style="92" min="1" max="1"/>
    <col width="35" customWidth="1" style="92" min="2" max="2"/>
    <col width="12" customWidth="1" style="92" min="3" max="4"/>
    <col width="10" customWidth="1" style="92" min="5" max="6"/>
    <col width="8" customWidth="1" style="92" min="7" max="7"/>
    <col width="14" customWidth="1" style="92" min="8" max="8"/>
    <col width="16" customWidth="1" style="92" min="9" max="9"/>
    <col width="10" customWidth="1" style="92" min="10" max="10"/>
    <col width="14" customWidth="1" style="92" min="11" max="11"/>
    <col width="22" customWidth="1" style="92" min="12" max="12"/>
  </cols>
  <sheetData>
    <row r="1" ht="21.95" customHeight="1" s="92">
      <c r="A1" s="49" t="inlineStr">
        <is>
          <t>1.4 — Soğutucu Gaz Kaçakları</t>
        </is>
      </c>
    </row>
    <row r="2" ht="15.95" customHeight="1" s="92">
      <c r="A2" s="47" t="inlineStr">
        <is>
          <t>MAVİ = siz doldurun  |  YEŞİL = online'dan otomatik, üzerine yazılabilir  |  GRİ = hesaplanan, dokunmayın</t>
        </is>
      </c>
    </row>
    <row r="3" ht="30" customHeight="1" s="92">
      <c r="A3" s="45" t="inlineStr">
        <is>
          <t>Yıl</t>
        </is>
      </c>
      <c r="B3" s="45" t="inlineStr">
        <is>
          <t>Emisyon Kaynağı</t>
        </is>
      </c>
      <c r="C3" s="45" t="inlineStr">
        <is>
          <t>Sera
Gazı</t>
        </is>
      </c>
      <c r="D3" s="45" t="inlineStr">
        <is>
          <t>FV — Faaliyet Değeri</t>
        </is>
      </c>
      <c r="E3" s="46" t="n"/>
      <c r="F3" s="45" t="inlineStr">
        <is>
          <t>EF — Sızıntı / Dolum Oranı</t>
        </is>
      </c>
      <c r="G3" s="46" t="n"/>
      <c r="H3" s="45" t="inlineStr">
        <is>
          <t>Emisyon  (FV × EF)</t>
        </is>
      </c>
      <c r="I3" s="46" t="n"/>
      <c r="J3" s="45" t="inlineStr">
        <is>
          <t>GWP
🟢 Online</t>
        </is>
      </c>
      <c r="K3" s="45" t="inlineStr">
        <is>
          <t>tCO2e
⚪ Hesaplanan</t>
        </is>
      </c>
      <c r="L3" s="45" t="inlineStr">
        <is>
          <t>Not</t>
        </is>
      </c>
    </row>
    <row r="4" ht="20.1" customHeight="1" s="92">
      <c r="A4" s="31" t="n"/>
      <c r="B4" s="31" t="n"/>
      <c r="C4" s="31" t="n"/>
      <c r="D4" s="31" t="inlineStr">
        <is>
          <t>Değer</t>
        </is>
      </c>
      <c r="E4" s="31" t="inlineStr">
        <is>
          <t>Birim
(kg veya ton)</t>
        </is>
      </c>
      <c r="F4" s="31" t="inlineStr">
        <is>
          <t>Değer</t>
        </is>
      </c>
      <c r="G4" s="31" t="inlineStr">
        <is>
          <t>Birim</t>
        </is>
      </c>
      <c r="H4" s="31" t="inlineStr">
        <is>
          <t>Değer</t>
        </is>
      </c>
      <c r="I4" s="31" t="inlineStr">
        <is>
          <t>Birim (ton gas)</t>
        </is>
      </c>
      <c r="J4" s="31" t="n"/>
      <c r="K4" s="31" t="n"/>
      <c r="L4" s="31" t="n"/>
    </row>
    <row r="5" ht="20.1" customHeight="1" s="92">
      <c r="A5" s="32" t="n">
        <v>2023</v>
      </c>
      <c r="B5" s="32" t="inlineStr">
        <is>
          <t>Soğutma Sistemi WRV (Sızıntı)</t>
        </is>
      </c>
      <c r="C5" s="32" t="inlineStr">
        <is>
          <t>R410A</t>
        </is>
      </c>
      <c r="D5" s="32" t="n">
        <v>0.22625</v>
      </c>
      <c r="E5" s="32" t="inlineStr">
        <is>
          <t>ton</t>
        </is>
      </c>
      <c r="F5" s="32" t="n">
        <v>0.1</v>
      </c>
      <c r="G5" s="32" t="inlineStr">
        <is>
          <t>%</t>
        </is>
      </c>
      <c r="H5" s="129" t="n">
        <v>0.0226</v>
      </c>
      <c r="I5" s="33" t="inlineStr">
        <is>
          <t>ton R410A</t>
        </is>
      </c>
      <c r="J5" s="30" t="n">
        <v>2256</v>
      </c>
      <c r="K5" s="129" t="n">
        <v>51.042</v>
      </c>
      <c r="L5" s="32" t="inlineStr">
        <is>
          <t>Sızıntı tespiti</t>
        </is>
      </c>
    </row>
    <row r="6" ht="20.1" customHeight="1" s="92">
      <c r="A6" s="32" t="n">
        <v>2023</v>
      </c>
      <c r="B6" s="32" t="inlineStr">
        <is>
          <t>Soğutma Sistemi Daikin Sistem Odası (Sızıntı)</t>
        </is>
      </c>
      <c r="C6" s="32" t="inlineStr">
        <is>
          <t>R32</t>
        </is>
      </c>
      <c r="D6" s="32" t="n">
        <v>0.00125</v>
      </c>
      <c r="E6" s="32" t="inlineStr">
        <is>
          <t>ton</t>
        </is>
      </c>
      <c r="F6" s="32" t="n">
        <v>0.1</v>
      </c>
      <c r="G6" s="32" t="inlineStr">
        <is>
          <t>%</t>
        </is>
      </c>
      <c r="H6" s="129" t="n">
        <v>0.0001</v>
      </c>
      <c r="I6" s="33" t="inlineStr">
        <is>
          <t>ton R32</t>
        </is>
      </c>
      <c r="J6" s="30" t="n">
        <v>771</v>
      </c>
      <c r="K6" s="129" t="n">
        <v>0.0964</v>
      </c>
      <c r="L6" s="32" t="n"/>
    </row>
    <row r="7" ht="20.1" customHeight="1" s="92">
      <c r="A7" s="32" t="n">
        <v>2023</v>
      </c>
      <c r="B7" s="32" t="inlineStr">
        <is>
          <t>Soğutma Sistemi Emerson Sistem Odası (Dolum)</t>
        </is>
      </c>
      <c r="C7" s="32" t="inlineStr">
        <is>
          <t>R407c</t>
        </is>
      </c>
      <c r="D7" s="32" t="n">
        <v>0.007</v>
      </c>
      <c r="E7" s="32" t="inlineStr">
        <is>
          <t>ton</t>
        </is>
      </c>
      <c r="F7" s="32" t="n">
        <v>1</v>
      </c>
      <c r="G7" s="32" t="inlineStr">
        <is>
          <t>%</t>
        </is>
      </c>
      <c r="H7" s="129" t="n">
        <v>0.007</v>
      </c>
      <c r="I7" s="33" t="inlineStr">
        <is>
          <t>ton R407c</t>
        </is>
      </c>
      <c r="J7" s="30" t="n">
        <v>1908</v>
      </c>
      <c r="K7" s="129" t="n">
        <v>13.356</v>
      </c>
      <c r="L7" s="32" t="inlineStr">
        <is>
          <t>Tam dolum</t>
        </is>
      </c>
    </row>
    <row r="8" ht="20.1" customHeight="1" s="92">
      <c r="A8" s="32" t="n">
        <v>2023</v>
      </c>
      <c r="B8" s="32" t="inlineStr">
        <is>
          <t>Yangın Söndürme Tüpü (Rutin Şarj Deşarj)</t>
        </is>
      </c>
      <c r="C8" s="32" t="inlineStr">
        <is>
          <t>HFC236fa</t>
        </is>
      </c>
      <c r="D8" s="32" t="n">
        <v>0.07000000000000001</v>
      </c>
      <c r="E8" s="32" t="inlineStr">
        <is>
          <t>ton</t>
        </is>
      </c>
      <c r="F8" s="32" t="n">
        <v>1</v>
      </c>
      <c r="G8" s="32" t="inlineStr">
        <is>
          <t>%</t>
        </is>
      </c>
      <c r="H8" s="129" t="n">
        <v>0.07000000000000001</v>
      </c>
      <c r="I8" s="33" t="inlineStr">
        <is>
          <t>ton HFC236fa</t>
        </is>
      </c>
      <c r="J8" s="30" t="n">
        <v>8690</v>
      </c>
      <c r="K8" s="129" t="n">
        <v>608.3</v>
      </c>
      <c r="L8" s="32" t="n"/>
    </row>
    <row r="9" ht="20.1" customHeight="1" s="92">
      <c r="A9" s="32" t="n">
        <v>2023</v>
      </c>
      <c r="B9" s="32" t="inlineStr">
        <is>
          <t>Yangın Söndürme Sistemi Odası (Sızıntı)</t>
        </is>
      </c>
      <c r="C9" s="32" t="inlineStr">
        <is>
          <t>FM200</t>
        </is>
      </c>
      <c r="D9" s="32" t="n">
        <v>0.064</v>
      </c>
      <c r="E9" s="32" t="inlineStr">
        <is>
          <t>ton</t>
        </is>
      </c>
      <c r="F9" s="32" t="n">
        <v>0.02</v>
      </c>
      <c r="G9" s="32" t="inlineStr">
        <is>
          <t>%</t>
        </is>
      </c>
      <c r="H9" s="129" t="n">
        <v>0.0013</v>
      </c>
      <c r="I9" s="33" t="inlineStr">
        <is>
          <t>ton FM200</t>
        </is>
      </c>
      <c r="J9" s="30" t="n">
        <v>3600</v>
      </c>
      <c r="K9" s="129" t="n">
        <v>4.608</v>
      </c>
      <c r="L9" s="32" t="n"/>
    </row>
    <row r="10" ht="20.1" customHeight="1" s="92">
      <c r="A10" s="32" t="n"/>
      <c r="B10" s="32" t="n"/>
      <c r="C10" s="32" t="n"/>
      <c r="D10" s="32" t="n"/>
      <c r="E10" s="32" t="n"/>
      <c r="F10" s="32" t="n"/>
      <c r="G10" s="32" t="n"/>
      <c r="H10" s="33" t="n"/>
      <c r="I10" s="33" t="n"/>
      <c r="J10" s="30" t="n"/>
      <c r="K10" s="33" t="n"/>
      <c r="L10" s="32" t="n"/>
    </row>
    <row r="11">
      <c r="A11" s="32" t="n">
        <v>2024</v>
      </c>
      <c r="B11" s="32" t="inlineStr">
        <is>
          <t>Soğutma Sistemi WRV (Sızıntı)</t>
        </is>
      </c>
      <c r="C11" s="32" t="inlineStr">
        <is>
          <t>R410A</t>
        </is>
      </c>
      <c r="D11" s="32" t="n">
        <v>0.22625</v>
      </c>
      <c r="E11" s="32" t="inlineStr">
        <is>
          <t>ton</t>
        </is>
      </c>
      <c r="F11" s="32" t="n">
        <v>0.1</v>
      </c>
      <c r="G11" s="32" t="inlineStr">
        <is>
          <t>%</t>
        </is>
      </c>
      <c r="H11" s="129" t="n">
        <v>0.0226</v>
      </c>
      <c r="I11" s="33" t="inlineStr">
        <is>
          <t>ton R410A</t>
        </is>
      </c>
      <c r="J11" s="30" t="n">
        <v>2256</v>
      </c>
      <c r="K11" s="129" t="n">
        <v>51.042</v>
      </c>
      <c r="L11" s="32" t="inlineStr">
        <is>
          <t>Sızıntı tespiti</t>
        </is>
      </c>
    </row>
    <row r="12" ht="24" customHeight="1" s="92">
      <c r="A12" s="32" t="n">
        <v>2024</v>
      </c>
      <c r="B12" s="32" t="inlineStr">
        <is>
          <t>Soğutma Sistemi Daikin Sistem Odası (Sızıntı)</t>
        </is>
      </c>
      <c r="C12" s="32" t="inlineStr">
        <is>
          <t>R32</t>
        </is>
      </c>
      <c r="D12" s="32" t="n">
        <v>0.00125</v>
      </c>
      <c r="E12" s="32" t="inlineStr">
        <is>
          <t>ton</t>
        </is>
      </c>
      <c r="F12" s="32" t="n">
        <v>0.1</v>
      </c>
      <c r="G12" s="32" t="inlineStr">
        <is>
          <t>%</t>
        </is>
      </c>
      <c r="H12" s="129" t="n">
        <v>0.0001</v>
      </c>
      <c r="I12" s="33" t="inlineStr">
        <is>
          <t>ton R32</t>
        </is>
      </c>
      <c r="J12" s="30" t="n">
        <v>771</v>
      </c>
      <c r="K12" s="129" t="n">
        <v>0.0964</v>
      </c>
      <c r="L12" s="32" t="n"/>
    </row>
    <row r="13">
      <c r="A13" s="32" t="n">
        <v>2024</v>
      </c>
      <c r="B13" s="32" t="inlineStr">
        <is>
          <t>Soğutma Sistemi Emerson Sistem Odası (Dolum)</t>
        </is>
      </c>
      <c r="C13" s="32" t="inlineStr">
        <is>
          <t>R407c</t>
        </is>
      </c>
      <c r="D13" s="32" t="n">
        <v>0.0075</v>
      </c>
      <c r="E13" s="32" t="inlineStr">
        <is>
          <t>ton</t>
        </is>
      </c>
      <c r="F13" s="32" t="n">
        <v>1</v>
      </c>
      <c r="G13" s="32" t="inlineStr">
        <is>
          <t>%</t>
        </is>
      </c>
      <c r="H13" s="129" t="n">
        <v>0.0075</v>
      </c>
      <c r="I13" s="33" t="inlineStr">
        <is>
          <t>ton R407c</t>
        </is>
      </c>
      <c r="J13" s="30" t="n">
        <v>1908</v>
      </c>
      <c r="K13" s="129" t="n">
        <v>14.31</v>
      </c>
      <c r="L13" s="32" t="inlineStr">
        <is>
          <t>Tam dolum</t>
        </is>
      </c>
    </row>
    <row r="14">
      <c r="A14" s="32" t="n">
        <v>2024</v>
      </c>
      <c r="B14" s="32" t="inlineStr">
        <is>
          <t>Yangın Söndürme Tüpü (Rutin Şarj Deşarj)</t>
        </is>
      </c>
      <c r="C14" s="32" t="inlineStr">
        <is>
          <t>HFC236fa</t>
        </is>
      </c>
      <c r="D14" s="32" t="n">
        <v>0.012</v>
      </c>
      <c r="E14" s="32" t="inlineStr">
        <is>
          <t>ton</t>
        </is>
      </c>
      <c r="F14" s="32" t="n">
        <v>1</v>
      </c>
      <c r="G14" s="32" t="inlineStr">
        <is>
          <t>%</t>
        </is>
      </c>
      <c r="H14" s="129" t="n">
        <v>0.012</v>
      </c>
      <c r="I14" s="33" t="inlineStr">
        <is>
          <t>ton HFC236fa</t>
        </is>
      </c>
      <c r="J14" s="30" t="n">
        <v>8690</v>
      </c>
      <c r="K14" s="129" t="n">
        <v>104.28</v>
      </c>
      <c r="L14" s="32" t="n"/>
    </row>
    <row r="15">
      <c r="A15" s="32" t="n">
        <v>2024</v>
      </c>
      <c r="B15" s="32" t="inlineStr">
        <is>
          <t>Yangın Söndürme Sistemi Odası (Sızıntı)</t>
        </is>
      </c>
      <c r="C15" s="32" t="inlineStr">
        <is>
          <t>FM200</t>
        </is>
      </c>
      <c r="D15" s="32" t="n">
        <v>0.064</v>
      </c>
      <c r="E15" s="32" t="inlineStr">
        <is>
          <t>ton</t>
        </is>
      </c>
      <c r="F15" s="32" t="n">
        <v>0.02</v>
      </c>
      <c r="G15" s="32" t="inlineStr">
        <is>
          <t>%</t>
        </is>
      </c>
      <c r="H15" s="129" t="n">
        <v>0.0013</v>
      </c>
      <c r="I15" s="33" t="inlineStr">
        <is>
          <t>ton FM200</t>
        </is>
      </c>
      <c r="J15" s="30" t="n">
        <v>3600</v>
      </c>
      <c r="K15" s="129" t="n">
        <v>4.608</v>
      </c>
      <c r="L15" s="32" t="n"/>
    </row>
    <row r="16" s="92">
      <c r="A16" s="32" t="n"/>
      <c r="B16" s="32" t="n"/>
      <c r="C16" s="32" t="n"/>
      <c r="D16" s="32" t="n"/>
      <c r="E16" s="32" t="n"/>
      <c r="F16" s="32" t="n"/>
      <c r="G16" s="32" t="n"/>
      <c r="H16" s="33" t="n"/>
      <c r="I16" s="33" t="n"/>
      <c r="J16" s="30" t="n"/>
      <c r="K16" s="33" t="n"/>
      <c r="L16" s="32" t="n"/>
    </row>
    <row r="17">
      <c r="A17" s="32" t="n">
        <v>2025</v>
      </c>
      <c r="B17" s="32" t="inlineStr">
        <is>
          <t>Sebil (Operasyon Sızıntı)</t>
        </is>
      </c>
      <c r="C17" s="57" t="inlineStr">
        <is>
          <t>R134A</t>
        </is>
      </c>
      <c r="D17" s="32" t="n">
        <v>0.00046</v>
      </c>
      <c r="E17" s="32" t="inlineStr">
        <is>
          <t>ton</t>
        </is>
      </c>
      <c r="F17" s="32" t="n">
        <v>0.005</v>
      </c>
      <c r="G17" s="32" t="inlineStr">
        <is>
          <t>%</t>
        </is>
      </c>
      <c r="H17" s="129" t="n">
        <v>0</v>
      </c>
      <c r="I17" s="33" t="inlineStr">
        <is>
          <t>ton R134A</t>
        </is>
      </c>
      <c r="J17" s="30" t="n">
        <v>1530</v>
      </c>
      <c r="K17" s="129" t="n">
        <v>0.0035</v>
      </c>
      <c r="L17" s="32" t="inlineStr">
        <is>
          <t>Sızıntı tespiti</t>
        </is>
      </c>
    </row>
    <row r="18">
      <c r="A18" s="32" t="n">
        <v>2025</v>
      </c>
      <c r="B18" s="32" t="inlineStr">
        <is>
          <t>Buzdolabı (Operasyon Sızıntı)</t>
        </is>
      </c>
      <c r="C18" s="57" t="inlineStr">
        <is>
          <t>R600A</t>
        </is>
      </c>
      <c r="D18" s="32" t="n">
        <v>4e-05</v>
      </c>
      <c r="E18" s="32" t="inlineStr">
        <is>
          <t>ton</t>
        </is>
      </c>
      <c r="F18" s="32" t="n">
        <v>0.005</v>
      </c>
      <c r="G18" s="32" t="inlineStr">
        <is>
          <t>%</t>
        </is>
      </c>
      <c r="H18" s="129" t="n">
        <v>0</v>
      </c>
      <c r="I18" s="33" t="inlineStr">
        <is>
          <t>ton R600A</t>
        </is>
      </c>
      <c r="J18" s="30" t="n">
        <v>3</v>
      </c>
      <c r="K18" s="129" t="n">
        <v>0</v>
      </c>
      <c r="L18" s="32" t="n"/>
    </row>
    <row r="19">
      <c r="A19" s="32" t="n">
        <v>2025</v>
      </c>
      <c r="B19" s="32" t="inlineStr">
        <is>
          <t>Soğutma Sistemi WRV (Sızıntı)</t>
        </is>
      </c>
      <c r="C19" s="32" t="inlineStr">
        <is>
          <t>R410A</t>
        </is>
      </c>
      <c r="D19" s="32" t="n">
        <v>0.22625</v>
      </c>
      <c r="E19" s="32" t="inlineStr">
        <is>
          <t>ton</t>
        </is>
      </c>
      <c r="F19" s="32" t="n">
        <v>0.1</v>
      </c>
      <c r="G19" s="32" t="inlineStr">
        <is>
          <t>%</t>
        </is>
      </c>
      <c r="H19" s="129" t="n">
        <v>0.0226</v>
      </c>
      <c r="I19" s="33" t="inlineStr">
        <is>
          <t>ton R410A</t>
        </is>
      </c>
      <c r="J19" s="30" t="n">
        <v>2256</v>
      </c>
      <c r="K19" s="129" t="n">
        <v>51.042</v>
      </c>
      <c r="L19" s="32" t="inlineStr">
        <is>
          <t>Tam dolum</t>
        </is>
      </c>
    </row>
    <row r="20">
      <c r="A20" s="32" t="n">
        <v>2025</v>
      </c>
      <c r="B20" s="32" t="inlineStr">
        <is>
          <t>Soğutma Sistemi Daikin Sistem Odası (Sızıntı)</t>
        </is>
      </c>
      <c r="C20" s="32" t="inlineStr">
        <is>
          <t>R32</t>
        </is>
      </c>
      <c r="D20" s="32" t="n">
        <v>0.00125</v>
      </c>
      <c r="E20" s="32" t="inlineStr">
        <is>
          <t>ton</t>
        </is>
      </c>
      <c r="F20" s="32" t="n">
        <v>0.1</v>
      </c>
      <c r="G20" s="32" t="inlineStr">
        <is>
          <t>%</t>
        </is>
      </c>
      <c r="H20" s="129" t="n">
        <v>0.0001</v>
      </c>
      <c r="I20" s="33" t="inlineStr">
        <is>
          <t>ton R32</t>
        </is>
      </c>
      <c r="J20" s="30" t="n">
        <v>771</v>
      </c>
      <c r="K20" s="129" t="n">
        <v>0.0964</v>
      </c>
      <c r="L20" s="32" t="n"/>
    </row>
    <row r="21">
      <c r="A21" s="32" t="n">
        <v>2025</v>
      </c>
      <c r="B21" s="32" t="inlineStr">
        <is>
          <t>Soğutma Sistemi Emerson Sistem Odası (Dolum)</t>
        </is>
      </c>
      <c r="C21" s="32" t="inlineStr">
        <is>
          <t>R407c</t>
        </is>
      </c>
      <c r="D21" s="32" t="n">
        <v>0.0075</v>
      </c>
      <c r="E21" s="32" t="inlineStr">
        <is>
          <t>ton</t>
        </is>
      </c>
      <c r="F21" s="32" t="n">
        <v>1</v>
      </c>
      <c r="G21" s="32" t="inlineStr">
        <is>
          <t>%</t>
        </is>
      </c>
      <c r="H21" s="129" t="n">
        <v>0.0075</v>
      </c>
      <c r="I21" s="33" t="inlineStr">
        <is>
          <t>ton R407c</t>
        </is>
      </c>
      <c r="J21" s="30" t="n">
        <v>1908</v>
      </c>
      <c r="K21" s="129" t="n">
        <v>14.31</v>
      </c>
      <c r="L21" s="32" t="inlineStr">
        <is>
          <t>Sızıntı tespiti</t>
        </is>
      </c>
    </row>
    <row r="22">
      <c r="A22" s="32" t="n">
        <v>2025</v>
      </c>
      <c r="B22" s="32" t="inlineStr">
        <is>
          <t>Yangın Söndürme Tüpü (Rutin Şarj Deşarj)</t>
        </is>
      </c>
      <c r="C22" s="32" t="inlineStr">
        <is>
          <t>HFC236fa</t>
        </is>
      </c>
      <c r="D22" s="32" t="n">
        <v>0.012</v>
      </c>
      <c r="E22" s="32" t="inlineStr">
        <is>
          <t>ton</t>
        </is>
      </c>
      <c r="F22" s="32" t="n">
        <v>1</v>
      </c>
      <c r="G22" s="32" t="inlineStr">
        <is>
          <t>%</t>
        </is>
      </c>
      <c r="H22" s="129" t="n">
        <v>0.012</v>
      </c>
      <c r="I22" s="33" t="inlineStr">
        <is>
          <t>ton HFC236fa</t>
        </is>
      </c>
      <c r="J22" s="30" t="n">
        <v>8690</v>
      </c>
      <c r="K22" s="129" t="n">
        <v>104.28</v>
      </c>
      <c r="L22" s="32" t="n"/>
    </row>
    <row r="23" s="92">
      <c r="A23" s="32" t="n">
        <v>2025</v>
      </c>
      <c r="B23" s="32" t="inlineStr">
        <is>
          <t>Yangın söndürme Tüpü (Yeni Tüp)</t>
        </is>
      </c>
      <c r="C23" s="57" t="inlineStr">
        <is>
          <t>HFC227ea</t>
        </is>
      </c>
      <c r="D23" s="32" t="n">
        <v>0.029</v>
      </c>
      <c r="E23" s="57" t="inlineStr">
        <is>
          <t>ton</t>
        </is>
      </c>
      <c r="F23" s="32" t="n">
        <v>0.02</v>
      </c>
      <c r="G23" s="57" t="inlineStr">
        <is>
          <t>%</t>
        </is>
      </c>
      <c r="H23" s="129" t="n">
        <v>0.0005999999999999999</v>
      </c>
      <c r="I23" s="62" t="inlineStr">
        <is>
          <t>ton HFC227ea</t>
        </is>
      </c>
      <c r="J23" s="30" t="n">
        <v>3220</v>
      </c>
      <c r="K23" s="129" t="n">
        <v>1.8676</v>
      </c>
      <c r="L23" s="32" t="n"/>
    </row>
    <row r="24">
      <c r="A24" s="32" t="n">
        <v>2025</v>
      </c>
      <c r="B24" s="32" t="inlineStr">
        <is>
          <t>Yangın Söndürme Sistemi Odası (Sızıntı)</t>
        </is>
      </c>
      <c r="C24" s="32" t="inlineStr">
        <is>
          <t>FM200</t>
        </is>
      </c>
      <c r="D24" s="32" t="n">
        <v>0.128</v>
      </c>
      <c r="E24" s="32" t="inlineStr">
        <is>
          <t>ton</t>
        </is>
      </c>
      <c r="F24" s="32" t="n">
        <v>0.02</v>
      </c>
      <c r="G24" s="32" t="inlineStr">
        <is>
          <t>%</t>
        </is>
      </c>
      <c r="H24" s="129" t="n">
        <v>0.0026</v>
      </c>
      <c r="I24" s="33" t="inlineStr">
        <is>
          <t>ton FM200</t>
        </is>
      </c>
      <c r="J24" s="30" t="n">
        <v>3600</v>
      </c>
      <c r="K24" s="129" t="n">
        <v>9.215999999999999</v>
      </c>
      <c r="L24" s="32" t="inlineStr">
        <is>
          <t>Tam dolum</t>
        </is>
      </c>
    </row>
    <row r="25" ht="25.5" customHeight="1" s="92">
      <c r="A25" s="32" t="n">
        <v>2025</v>
      </c>
      <c r="B25" s="74" t="inlineStr">
        <is>
          <t>Elektrik panolarına yapılan ekleme
Yangın söndürme Sistemi (Sızıntı)</t>
        </is>
      </c>
      <c r="C25" s="57" t="inlineStr">
        <is>
          <t>FK-5-1-12</t>
        </is>
      </c>
      <c r="D25" s="32" t="n">
        <v>0.092</v>
      </c>
      <c r="E25" s="57" t="inlineStr">
        <is>
          <t>ton</t>
        </is>
      </c>
      <c r="F25" s="32" t="n">
        <v>0.02</v>
      </c>
      <c r="G25" s="57" t="inlineStr">
        <is>
          <t>%</t>
        </is>
      </c>
      <c r="H25" s="129" t="n">
        <v>0.0018</v>
      </c>
      <c r="I25" s="62" t="inlineStr">
        <is>
          <t>ton FK-5-1-12</t>
        </is>
      </c>
      <c r="J25" s="30" t="n">
        <v>1</v>
      </c>
      <c r="K25" s="129" t="n">
        <v>0.0018</v>
      </c>
      <c r="L25" s="32" t="n"/>
    </row>
    <row r="26">
      <c r="A26" s="32" t="n"/>
      <c r="B26" s="32" t="n"/>
      <c r="C26" s="32" t="n"/>
      <c r="D26" s="32" t="n"/>
      <c r="E26" s="32" t="n"/>
      <c r="F26" s="32" t="n"/>
      <c r="G26" s="32" t="n"/>
      <c r="H26" s="33">
        <f>IF(D26=0,0,D26*F26)</f>
        <v/>
      </c>
      <c r="I26" s="33" t="n"/>
      <c r="J26" s="30" t="n"/>
      <c r="K26" s="33">
        <f>IF(H26=0,0,IF(LOWER(E26)="kg",H26*J26/1000,IF(LOWER(E26)="ton",H26*J26,H26*J26)))</f>
        <v/>
      </c>
      <c r="L26" s="32" t="n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48" t="inlineStr">
        <is>
          <t>• FV = Faaliyet Değeri (ton cinsinden girin)   • EF = Sızıntı oranı ondalık: %10 → 0.10 / %100 dolum → 1.00   • Emisyon = FV × EF (ton gas)   • tCO2e = Emisyon(ton) × GWP  ←  ton × GWP = tCO2e, çift bölme yok</t>
        </is>
      </c>
    </row>
  </sheetData>
  <mergeCells count="6">
    <mergeCell ref="F3:G3"/>
    <mergeCell ref="A2:L2"/>
    <mergeCell ref="A43:L43"/>
    <mergeCell ref="A1:L1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N12" sqref="N12"/>
    </sheetView>
  </sheetViews>
  <sheetFormatPr baseColWidth="8" defaultRowHeight="15"/>
  <cols>
    <col width="8" customWidth="1" style="92" min="1" max="1"/>
    <col width="18" customWidth="1" style="92" min="2" max="2"/>
    <col width="14" customWidth="1" style="92" min="3" max="5"/>
    <col width="28" customWidth="1" style="92" min="6" max="6"/>
    <col width="14.42578125" customWidth="1" style="92" min="7" max="7"/>
  </cols>
  <sheetData>
    <row r="1" ht="33.95" customHeight="1" s="92">
      <c r="A1" s="44" t="inlineStr">
        <is>
          <t>2.1 — Elektrik Tüketimi (Kapsam 2)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45" t="inlineStr">
        <is>
          <t>Tüketim
(kWh/MWh/GWh)</t>
        </is>
      </c>
      <c r="C3" s="45" t="inlineStr">
        <is>
          <t>Birim
🟢
(kWh/MWh/GWh)</t>
        </is>
      </c>
      <c r="D3" s="1" t="inlineStr">
        <is>
          <t>EF
(ton CO2e/MWh)
🟢 Online</t>
        </is>
      </c>
      <c r="E3" s="1" t="inlineStr">
        <is>
          <t>EF Kaynak</t>
        </is>
      </c>
      <c r="F3" s="1" t="inlineStr">
        <is>
          <t>CO2e (ton)
⚪</t>
        </is>
      </c>
      <c r="G3" s="1" t="inlineStr">
        <is>
          <t>Not</t>
        </is>
      </c>
    </row>
    <row r="4" ht="20.1" customHeight="1" s="92">
      <c r="A4" s="2" t="n">
        <v>2023</v>
      </c>
      <c r="B4" s="2" t="n">
        <v>998.13</v>
      </c>
      <c r="C4" s="58" t="inlineStr">
        <is>
          <t>MWh</t>
        </is>
      </c>
      <c r="D4" s="4" t="n">
        <v>0.442</v>
      </c>
      <c r="E4" s="4" t="inlineStr">
        <is>
          <t>TEİAŞ/EPDK REF#10</t>
        </is>
      </c>
      <c r="F4" s="129" t="n">
        <v>441.1735</v>
      </c>
      <c r="G4" s="2" t="inlineStr">
        <is>
          <t>2023 tüketim</t>
        </is>
      </c>
    </row>
    <row r="5" ht="20.1" customHeight="1" s="92">
      <c r="A5" s="2" t="n">
        <v>2024</v>
      </c>
      <c r="B5" s="2" t="n">
        <v>1027.73</v>
      </c>
      <c r="C5" s="58" t="inlineStr">
        <is>
          <t>MWh</t>
        </is>
      </c>
      <c r="D5" s="4" t="n">
        <v>0.442</v>
      </c>
      <c r="E5" s="4" t="n"/>
      <c r="F5" s="129" t="n">
        <v>454.2567</v>
      </c>
      <c r="G5" s="2" t="inlineStr">
        <is>
          <t>2024 tüketim</t>
        </is>
      </c>
    </row>
    <row r="6" ht="20.1" customHeight="1" s="92">
      <c r="A6" s="2" t="n">
        <v>2025</v>
      </c>
      <c r="B6" s="2" t="n">
        <v>1416.24</v>
      </c>
      <c r="C6" s="58" t="inlineStr">
        <is>
          <t>MWh</t>
        </is>
      </c>
      <c r="D6" s="4" t="n">
        <v>0.469</v>
      </c>
      <c r="E6" s="4" t="n"/>
      <c r="F6" s="129" t="n">
        <v>664.2166</v>
      </c>
      <c r="G6" s="2" t="inlineStr">
        <is>
          <t>2024 tüketim</t>
        </is>
      </c>
    </row>
    <row r="7" ht="20.1" customHeight="1" s="92">
      <c r="A7" s="2" t="n"/>
      <c r="B7" s="2" t="n"/>
      <c r="C7" s="58" t="inlineStr">
        <is>
          <t>MWh</t>
        </is>
      </c>
      <c r="D7" s="4" t="n"/>
      <c r="E7" s="4" t="n"/>
      <c r="F7" s="33">
        <f>IF(B7=0,0,B7*IF(LOWER(C7)="kwh",1/1000,IF(LOWER(C7)="mwh",1,IF(LOWER(C7)="gwh",1000,1/1000)))*D7)</f>
        <v/>
      </c>
      <c r="G7" s="2" t="n"/>
    </row>
    <row r="8" ht="20.1" customHeight="1" s="92">
      <c r="A8" s="2" t="n"/>
      <c r="B8" s="2" t="n"/>
      <c r="C8" s="58" t="inlineStr">
        <is>
          <t>MWh</t>
        </is>
      </c>
      <c r="D8" s="4" t="n"/>
      <c r="E8" s="4" t="n"/>
      <c r="F8" s="33">
        <f>IF(B8=0,0,B8*IF(LOWER(C8)="kwh",1/1000,IF(LOWER(C8)="mwh",1,IF(LOWER(C8)="gwh",1000,1/1000)))*D8)</f>
        <v/>
      </c>
      <c r="G8" s="2" t="n"/>
    </row>
    <row r="9" ht="20.1" customHeight="1" s="92">
      <c r="A9" s="2" t="n"/>
      <c r="B9" s="2" t="n"/>
      <c r="C9" s="58" t="inlineStr">
        <is>
          <t>MWh</t>
        </is>
      </c>
      <c r="D9" s="4" t="n"/>
      <c r="E9" s="4" t="n"/>
      <c r="F9" s="33">
        <f>IF(B9=0,0,B9*IF(LOWER(C9)="kwh",1/1000,IF(LOWER(C9)="mwh",1,IF(LOWER(C9)="gwh",1000,1/1000)))*D9)</f>
        <v/>
      </c>
      <c r="G9" s="2" t="n"/>
    </row>
    <row r="10"/>
    <row r="11" ht="20.1" customHeight="1" s="92">
      <c r="A11" s="107" t="inlineStr">
        <is>
          <t>NOTLAR VE KAYNAKLAR</t>
        </is>
      </c>
      <c r="B11" s="42" t="n"/>
      <c r="C11" s="42" t="n"/>
      <c r="D11" s="42" t="n"/>
      <c r="E11" s="42" t="n"/>
      <c r="F11" s="46" t="n"/>
      <c r="G11" s="43" t="n"/>
    </row>
    <row r="12" ht="15" customHeight="1" s="92">
      <c r="A12" s="39" t="inlineStr">
        <is>
          <t>• EF online'dan otomatik güncellenir, üzerine yazılabilir.</t>
        </is>
      </c>
    </row>
    <row r="13" ht="15" customHeight="1" s="92">
      <c r="A13" s="39" t="inlineStr">
        <is>
          <t>• Tüketim kWh → importer MWh'ye çevirir.</t>
        </is>
      </c>
    </row>
    <row r="14" ht="15" customHeight="1" s="92">
      <c r="A14" s="39" t="inlineStr">
        <is>
          <t>• Kaynak: TEİAŞ/EPDK</t>
        </is>
      </c>
    </row>
    <row r="15"/>
    <row r="16" ht="15.95" customHeight="1" s="92">
      <c r="A16" s="5" t="n"/>
      <c r="B16" s="6" t="inlineStr">
        <is>
          <t>← YOU FILL THESE (blue)</t>
        </is>
      </c>
    </row>
    <row r="17" ht="15.95" customHeight="1" s="92">
      <c r="A17" s="7" t="n"/>
      <c r="B17" s="8" t="inlineStr">
        <is>
          <t>← AUTO-FILLED FROM ONLINE — you can override (green)</t>
        </is>
      </c>
    </row>
    <row r="18" ht="15.95" customHeight="1" s="92">
      <c r="A18" s="9" t="n"/>
      <c r="B18" s="10" t="inlineStr">
        <is>
          <t>← DO NOT EDIT — calculated by system (grey)</t>
        </is>
      </c>
    </row>
    <row r="19" ht="15.95" customHeight="1" s="92">
      <c r="A19" s="11" t="n"/>
      <c r="B19" s="12" t="inlineStr">
        <is>
          <t>← TOTALS (yellow)</t>
        </is>
      </c>
    </row>
  </sheetData>
  <mergeCells count="6">
    <mergeCell ref="A2:F2"/>
    <mergeCell ref="A11:F11"/>
    <mergeCell ref="A13:F13"/>
    <mergeCell ref="A14:F14"/>
    <mergeCell ref="A1:F1"/>
    <mergeCell ref="A12:F1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M9" sqref="M9"/>
    </sheetView>
  </sheetViews>
  <sheetFormatPr baseColWidth="8" defaultRowHeight="15"/>
  <cols>
    <col width="8" customWidth="1" style="92" min="1" max="1"/>
    <col width="10" customWidth="1" style="92" min="2" max="2"/>
    <col width="24" customWidth="1" style="92" min="3" max="3"/>
    <col width="22" customWidth="1" style="92" min="4" max="4"/>
    <col width="18" customWidth="1" style="92" min="5" max="5"/>
    <col width="14" customWidth="1" style="92" min="6" max="8"/>
    <col width="24" customWidth="1" style="92" min="9" max="9"/>
  </cols>
  <sheetData>
    <row r="1" ht="33.95" customHeight="1" s="92">
      <c r="A1" s="44" t="inlineStr">
        <is>
          <t>3.1 — Hammadde Sevkiyatı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Emisyon Kaynağı</t>
        </is>
      </c>
      <c r="D3" s="1" t="inlineStr">
        <is>
          <t>Taşıma Tipi</t>
        </is>
      </c>
      <c r="E3" s="1" t="inlineStr">
        <is>
          <t>Araç Tipi</t>
        </is>
      </c>
      <c r="F3" s="45" t="inlineStr">
        <is>
          <t>Mesafe
(km/mil/m)</t>
        </is>
      </c>
      <c r="G3" s="45" t="inlineStr">
        <is>
          <t>Birim
🟢
(km/mil/m)</t>
        </is>
      </c>
      <c r="H3" s="1" t="inlineStr">
        <is>
          <t>EF
(kg CO2e/tkm)
🟢 Online</t>
        </is>
      </c>
      <c r="I3" s="1" t="inlineStr">
        <is>
          <t>CO2e (ton)
⚪</t>
        </is>
      </c>
      <c r="J3" s="1" t="inlineStr">
        <is>
          <t>Not</t>
        </is>
      </c>
    </row>
    <row r="4" ht="20.1" customHeight="1" s="92">
      <c r="A4" s="22" t="n">
        <v>2023</v>
      </c>
      <c r="B4" s="2" t="inlineStr">
        <is>
          <t>3.1.1</t>
        </is>
      </c>
      <c r="C4" s="2" t="inlineStr">
        <is>
          <t>Hammadde Sevkiyatı</t>
        </is>
      </c>
      <c r="D4" s="2" t="inlineStr">
        <is>
          <t>Karayolu-%100 Laden</t>
        </is>
      </c>
      <c r="E4" s="2" t="inlineStr">
        <is>
          <t>All HGVs</t>
        </is>
      </c>
      <c r="F4" s="2" t="n">
        <v>0</v>
      </c>
      <c r="G4" s="30" t="inlineStr">
        <is>
          <t>km</t>
        </is>
      </c>
      <c r="H4" s="16" t="n">
        <v>0.08223</v>
      </c>
      <c r="I4" s="129" t="n">
        <v>0</v>
      </c>
      <c r="J4" s="2" t="n"/>
    </row>
    <row r="5" ht="20.1" customHeight="1" s="92">
      <c r="A5" s="22" t="n">
        <v>2023</v>
      </c>
      <c r="B5" s="2" t="inlineStr">
        <is>
          <t>3.1.2</t>
        </is>
      </c>
      <c r="C5" s="2" t="inlineStr">
        <is>
          <t>Hammadde Sevkiyatı</t>
        </is>
      </c>
      <c r="D5" s="2" t="inlineStr">
        <is>
          <t>Karayolu (Dizel)</t>
        </is>
      </c>
      <c r="E5" s="2" t="inlineStr">
        <is>
          <t>Small Car</t>
        </is>
      </c>
      <c r="F5" s="2" t="n">
        <v>0</v>
      </c>
      <c r="G5" s="30" t="inlineStr">
        <is>
          <t>km</t>
        </is>
      </c>
      <c r="H5" s="17" t="n">
        <v>0.14844</v>
      </c>
      <c r="I5" s="129" t="n">
        <v>0</v>
      </c>
      <c r="J5" s="2" t="n"/>
    </row>
    <row r="6" ht="20.1" customHeight="1" s="92">
      <c r="A6" s="22" t="n">
        <v>2024</v>
      </c>
      <c r="B6" s="2" t="inlineStr">
        <is>
          <t>3.1.1</t>
        </is>
      </c>
      <c r="C6" s="2" t="inlineStr">
        <is>
          <t>Hammadde Sevkiyatı</t>
        </is>
      </c>
      <c r="D6" s="2" t="inlineStr">
        <is>
          <t>Karayolu-%100 Laden</t>
        </is>
      </c>
      <c r="E6" s="2" t="inlineStr">
        <is>
          <t>All HGVs</t>
        </is>
      </c>
      <c r="F6" s="2" t="n">
        <v>0</v>
      </c>
      <c r="G6" s="30" t="inlineStr">
        <is>
          <t>km</t>
        </is>
      </c>
      <c r="H6" s="16" t="n">
        <v>0.08223</v>
      </c>
      <c r="I6" s="129" t="n">
        <v>0</v>
      </c>
      <c r="J6" s="2" t="n"/>
    </row>
    <row r="7" ht="20.1" customHeight="1" s="92">
      <c r="A7" s="22" t="n">
        <v>2024</v>
      </c>
      <c r="B7" s="2" t="inlineStr">
        <is>
          <t>3.1.2</t>
        </is>
      </c>
      <c r="C7" s="2" t="inlineStr">
        <is>
          <t>Hammadde Sevkiyatı</t>
        </is>
      </c>
      <c r="D7" s="2" t="inlineStr">
        <is>
          <t>Karayolu (Dizel)</t>
        </is>
      </c>
      <c r="E7" s="2" t="inlineStr">
        <is>
          <t>Small Car</t>
        </is>
      </c>
      <c r="F7" s="2" t="n">
        <v>0</v>
      </c>
      <c r="G7" s="30" t="inlineStr">
        <is>
          <t>km</t>
        </is>
      </c>
      <c r="H7" s="17" t="n">
        <v>0.14844</v>
      </c>
      <c r="I7" s="129" t="n">
        <v>0</v>
      </c>
      <c r="J7" s="2" t="n"/>
    </row>
    <row r="8" ht="20.1" customHeight="1" s="92">
      <c r="A8" s="22" t="n">
        <v>2025</v>
      </c>
      <c r="B8" s="2" t="inlineStr">
        <is>
          <t>3.1.1</t>
        </is>
      </c>
      <c r="C8" s="2" t="inlineStr">
        <is>
          <t>Hammadde Sevkiyatı</t>
        </is>
      </c>
      <c r="D8" s="2" t="inlineStr">
        <is>
          <t>Karayolu-%100 Laden</t>
        </is>
      </c>
      <c r="E8" s="2" t="inlineStr">
        <is>
          <t>All HGVs</t>
        </is>
      </c>
      <c r="F8" s="2" t="n">
        <v>0</v>
      </c>
      <c r="G8" s="30" t="inlineStr">
        <is>
          <t>km</t>
        </is>
      </c>
      <c r="H8" s="16" t="n">
        <v>0.08223</v>
      </c>
      <c r="I8" s="129" t="n">
        <v>0</v>
      </c>
      <c r="J8" s="2" t="n"/>
    </row>
    <row r="9" ht="20.1" customHeight="1" s="92">
      <c r="A9" s="22" t="n">
        <v>2025</v>
      </c>
      <c r="B9" s="2" t="inlineStr">
        <is>
          <t>3.1.2</t>
        </is>
      </c>
      <c r="C9" s="2" t="inlineStr">
        <is>
          <t>Hammadde Sevkiyatı</t>
        </is>
      </c>
      <c r="D9" s="2" t="inlineStr">
        <is>
          <t>Karayolu (Dizel)</t>
        </is>
      </c>
      <c r="E9" s="2" t="inlineStr">
        <is>
          <t>Small Car</t>
        </is>
      </c>
      <c r="F9" s="2" t="n">
        <v>0</v>
      </c>
      <c r="G9" s="30" t="inlineStr">
        <is>
          <t>km</t>
        </is>
      </c>
      <c r="H9" s="17" t="n">
        <v>0.14844</v>
      </c>
      <c r="I9" s="129" t="n">
        <v>0</v>
      </c>
      <c r="J9" s="2" t="n"/>
    </row>
    <row r="10"/>
    <row r="11" ht="20.1" customHeight="1" s="92">
      <c r="A11" s="107" t="inlineStr">
        <is>
          <t>NOTLAR VE KAYNAKLAR</t>
        </is>
      </c>
      <c r="B11" s="42" t="n"/>
      <c r="C11" s="42" t="n"/>
      <c r="D11" s="42" t="n"/>
      <c r="E11" s="42" t="n"/>
      <c r="F11" s="42" t="n"/>
      <c r="G11" s="42" t="n"/>
      <c r="H11" s="42" t="n"/>
      <c r="I11" s="46" t="n"/>
      <c r="J11" s="43" t="n"/>
    </row>
    <row r="12" ht="15" customHeight="1" s="92">
      <c r="A12" s="39" t="inlineStr">
        <is>
          <t>• EF DEFRA'dan otomatik çekilir, üzerine yazılabilir.</t>
        </is>
      </c>
    </row>
    <row r="13" ht="15" customHeight="1" s="92">
      <c r="A13" s="39" t="inlineStr">
        <is>
          <t>• Kaynak: DEFRA UK GHG Conversion Factors</t>
        </is>
      </c>
    </row>
    <row r="14"/>
    <row r="15" ht="15.95" customHeight="1" s="92">
      <c r="A15" s="5" t="n"/>
      <c r="B15" s="6" t="inlineStr">
        <is>
          <t>← YOU FILL THESE (blue)</t>
        </is>
      </c>
    </row>
    <row r="16" ht="15.95" customHeight="1" s="92">
      <c r="A16" s="7" t="n"/>
      <c r="B16" s="8" t="inlineStr">
        <is>
          <t>← AUTO-FILLED FROM ONLINE — you can override (green)</t>
        </is>
      </c>
    </row>
    <row r="17" ht="15.95" customHeight="1" s="92">
      <c r="A17" s="9" t="n"/>
      <c r="B17" s="10" t="inlineStr">
        <is>
          <t>← DO NOT EDIT — calculated by system (grey)</t>
        </is>
      </c>
    </row>
    <row r="18" ht="15.95" customHeight="1" s="92">
      <c r="A18" s="11" t="n"/>
      <c r="B18" s="12" t="inlineStr">
        <is>
          <t>← TOTALS (yellow)</t>
        </is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8" sqref="A8"/>
    </sheetView>
  </sheetViews>
  <sheetFormatPr baseColWidth="8" defaultRowHeight="15"/>
  <cols>
    <col width="8" customWidth="1" style="92" min="1" max="1"/>
    <col width="10" customWidth="1" style="92" min="2" max="2"/>
    <col width="24" customWidth="1" style="92" min="3" max="3"/>
    <col width="22" customWidth="1" style="92" min="4" max="4"/>
    <col width="18" customWidth="1" style="92" min="5" max="5"/>
    <col width="14" customWidth="1" style="92" min="6" max="8"/>
    <col width="24" customWidth="1" style="92" min="9" max="9"/>
  </cols>
  <sheetData>
    <row r="1" ht="33.95" customHeight="1" s="92">
      <c r="A1" s="44" t="inlineStr">
        <is>
          <t>3.2 — Ürün Sevkiyatı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Emisyon Kaynağı</t>
        </is>
      </c>
      <c r="D3" s="1" t="inlineStr">
        <is>
          <t>Taşıma Tipi</t>
        </is>
      </c>
      <c r="E3" s="1" t="inlineStr">
        <is>
          <t>Araç Tipi</t>
        </is>
      </c>
      <c r="F3" s="45" t="inlineStr">
        <is>
          <t>Mesafe
(km/mil/m)</t>
        </is>
      </c>
      <c r="G3" s="45" t="inlineStr">
        <is>
          <t>Birim
🟢
(km/mil/m)</t>
        </is>
      </c>
      <c r="H3" s="1" t="inlineStr">
        <is>
          <t>EF
(kg CO2e/tkm)
🟢 Online</t>
        </is>
      </c>
      <c r="I3" s="1" t="inlineStr">
        <is>
          <t>CO2e (ton)
⚪</t>
        </is>
      </c>
      <c r="J3" s="1" t="inlineStr">
        <is>
          <t>Not</t>
        </is>
      </c>
    </row>
    <row r="4" ht="20.1" customHeight="1" s="92">
      <c r="A4" s="22" t="n">
        <v>2023</v>
      </c>
      <c r="B4" s="2" t="inlineStr">
        <is>
          <t>3.2.1</t>
        </is>
      </c>
      <c r="C4" s="2" t="inlineStr">
        <is>
          <t>Ürün Sevkiyatı</t>
        </is>
      </c>
      <c r="D4" s="2" t="inlineStr">
        <is>
          <t>Karayolu-%100 Laden</t>
        </is>
      </c>
      <c r="E4" s="2" t="inlineStr">
        <is>
          <t>All HGVs</t>
        </is>
      </c>
      <c r="F4" s="2" t="n">
        <v>0</v>
      </c>
      <c r="G4" s="30" t="inlineStr">
        <is>
          <t>km</t>
        </is>
      </c>
      <c r="H4" s="16" t="n">
        <v>0.08223</v>
      </c>
      <c r="I4" s="129" t="n">
        <v>0</v>
      </c>
      <c r="J4" s="2" t="n"/>
    </row>
    <row r="5" ht="20.1" customHeight="1" s="92">
      <c r="A5" s="22" t="n">
        <v>2023</v>
      </c>
      <c r="B5" s="2" t="inlineStr">
        <is>
          <t>3.2.2</t>
        </is>
      </c>
      <c r="C5" s="2" t="inlineStr">
        <is>
          <t>Ürün Sevkiyatı</t>
        </is>
      </c>
      <c r="D5" s="2" t="inlineStr">
        <is>
          <t>Karayolu (Dizel)</t>
        </is>
      </c>
      <c r="E5" s="2" t="inlineStr">
        <is>
          <t>Small Car</t>
        </is>
      </c>
      <c r="F5" s="2" t="n">
        <v>0</v>
      </c>
      <c r="G5" s="30" t="inlineStr">
        <is>
          <t>km</t>
        </is>
      </c>
      <c r="H5" s="17" t="n">
        <v>0.14844</v>
      </c>
      <c r="I5" s="129" t="n">
        <v>0</v>
      </c>
      <c r="J5" s="2" t="n"/>
    </row>
    <row r="6" ht="20.1" customHeight="1" s="92">
      <c r="A6" s="22" t="n">
        <v>2024</v>
      </c>
      <c r="B6" s="2" t="inlineStr">
        <is>
          <t>3.2.1</t>
        </is>
      </c>
      <c r="C6" s="2" t="inlineStr">
        <is>
          <t>Ürün Sevkiyatı</t>
        </is>
      </c>
      <c r="D6" s="2" t="inlineStr">
        <is>
          <t>Karayolu-%100 Laden</t>
        </is>
      </c>
      <c r="E6" s="2" t="inlineStr">
        <is>
          <t>All HGVs</t>
        </is>
      </c>
      <c r="F6" s="2" t="n">
        <v>0</v>
      </c>
      <c r="G6" s="30" t="inlineStr">
        <is>
          <t>km</t>
        </is>
      </c>
      <c r="H6" s="16" t="n">
        <v>0.08223</v>
      </c>
      <c r="I6" s="129" t="n">
        <v>0</v>
      </c>
      <c r="J6" s="2" t="n"/>
    </row>
    <row r="7" ht="20.1" customHeight="1" s="92">
      <c r="A7" s="22" t="n">
        <v>2024</v>
      </c>
      <c r="B7" s="2" t="inlineStr">
        <is>
          <t>3.2.2</t>
        </is>
      </c>
      <c r="C7" s="2" t="inlineStr">
        <is>
          <t>Ürün Sevkiyatı</t>
        </is>
      </c>
      <c r="D7" s="2" t="inlineStr">
        <is>
          <t>Karayolu (Dizel)</t>
        </is>
      </c>
      <c r="E7" s="2" t="inlineStr">
        <is>
          <t>Small Car</t>
        </is>
      </c>
      <c r="F7" s="2" t="n">
        <v>0</v>
      </c>
      <c r="G7" s="30" t="inlineStr">
        <is>
          <t>km</t>
        </is>
      </c>
      <c r="H7" s="17" t="n">
        <v>0.14844</v>
      </c>
      <c r="I7" s="129" t="n">
        <v>0</v>
      </c>
      <c r="J7" s="2" t="n"/>
    </row>
    <row r="8" ht="20.1" customHeight="1" s="92">
      <c r="A8" s="22" t="n">
        <v>2025</v>
      </c>
      <c r="B8" s="2" t="inlineStr">
        <is>
          <t>3.2.1</t>
        </is>
      </c>
      <c r="C8" s="2" t="inlineStr">
        <is>
          <t>Ürün Sevkiyatı</t>
        </is>
      </c>
      <c r="D8" s="2" t="inlineStr">
        <is>
          <t>Karayolu-%100 Laden</t>
        </is>
      </c>
      <c r="E8" s="2" t="inlineStr">
        <is>
          <t>All HGVs</t>
        </is>
      </c>
      <c r="F8" s="2" t="n">
        <v>0</v>
      </c>
      <c r="G8" s="30" t="inlineStr">
        <is>
          <t>km</t>
        </is>
      </c>
      <c r="H8" s="16" t="n">
        <v>0.08223</v>
      </c>
      <c r="I8" s="129" t="n">
        <v>0</v>
      </c>
      <c r="J8" s="2" t="n"/>
    </row>
    <row r="9" ht="20.1" customHeight="1" s="92">
      <c r="A9" s="22" t="n">
        <v>2025</v>
      </c>
      <c r="B9" s="2" t="inlineStr">
        <is>
          <t>3.2.2</t>
        </is>
      </c>
      <c r="C9" s="2" t="inlineStr">
        <is>
          <t>Ürün Sevkiyatı</t>
        </is>
      </c>
      <c r="D9" s="2" t="inlineStr">
        <is>
          <t>Karayolu (Dizel)</t>
        </is>
      </c>
      <c r="E9" s="2" t="inlineStr">
        <is>
          <t>Small Car</t>
        </is>
      </c>
      <c r="F9" s="2" t="n">
        <v>0</v>
      </c>
      <c r="G9" s="30" t="inlineStr">
        <is>
          <t>km</t>
        </is>
      </c>
      <c r="H9" s="17" t="n">
        <v>0.14844</v>
      </c>
      <c r="I9" s="129" t="n">
        <v>0</v>
      </c>
      <c r="J9" s="2" t="n"/>
    </row>
    <row r="10"/>
    <row r="11" ht="20.1" customHeight="1" s="92">
      <c r="A11" s="107" t="inlineStr">
        <is>
          <t>NOTLAR VE KAYNAKLAR</t>
        </is>
      </c>
      <c r="B11" s="42" t="n"/>
      <c r="C11" s="42" t="n"/>
      <c r="D11" s="42" t="n"/>
      <c r="E11" s="42" t="n"/>
      <c r="F11" s="42" t="n"/>
      <c r="G11" s="42" t="n"/>
      <c r="H11" s="42" t="n"/>
      <c r="I11" s="46" t="n"/>
      <c r="J11" s="43" t="n"/>
    </row>
    <row r="12" ht="15" customHeight="1" s="92">
      <c r="A12" s="39" t="inlineStr">
        <is>
          <t>• 3.1 hammadde, 3.2 ürün/çıktı sevkiyatı içindir.</t>
        </is>
      </c>
    </row>
    <row r="13" ht="15" customHeight="1" s="92">
      <c r="A13" s="39" t="inlineStr">
        <is>
          <t>• Kaynak: DEFRA UK GHG Conversion Factors</t>
        </is>
      </c>
    </row>
    <row r="14"/>
    <row r="15" ht="15.95" customHeight="1" s="92">
      <c r="A15" s="5" t="n"/>
      <c r="B15" s="6" t="inlineStr">
        <is>
          <t>← YOU FILL THESE (blue)</t>
        </is>
      </c>
    </row>
    <row r="16" ht="15.95" customHeight="1" s="92">
      <c r="A16" s="7" t="n"/>
      <c r="B16" s="8" t="inlineStr">
        <is>
          <t>← AUTO-FILLED FROM ONLINE — you can override (green)</t>
        </is>
      </c>
    </row>
    <row r="17" ht="15.95" customHeight="1" s="92">
      <c r="A17" s="9" t="n"/>
      <c r="B17" s="10" t="inlineStr">
        <is>
          <t>← DO NOT EDIT — calculated by system (grey)</t>
        </is>
      </c>
    </row>
    <row r="18" ht="15.95" customHeight="1" s="92">
      <c r="A18" s="11" t="n"/>
      <c r="B18" s="12" t="inlineStr">
        <is>
          <t>← TOTALS (yellow)</t>
        </is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topLeftCell="A8" workbookViewId="0">
      <selection activeCell="S12" sqref="S12"/>
    </sheetView>
  </sheetViews>
  <sheetFormatPr baseColWidth="8" defaultRowHeight="15"/>
  <cols>
    <col width="8" customWidth="1" style="92" min="1" max="1"/>
    <col width="10" customWidth="1" style="92" min="2" max="2"/>
    <col width="22" customWidth="1" style="92" min="3" max="3"/>
    <col width="18" customWidth="1" style="92" min="4" max="4"/>
    <col width="14" customWidth="1" style="92" min="5" max="5"/>
    <col width="8" customWidth="1" style="92" min="6" max="6"/>
    <col width="12" customWidth="1" style="92" min="7" max="7"/>
    <col width="14" customWidth="1" style="92" min="8" max="10"/>
    <col width="10" customWidth="1" style="92" min="11" max="12"/>
    <col width="12" customWidth="1" style="92" min="13" max="13"/>
    <col width="14" customWidth="1" style="92" min="14" max="14"/>
    <col width="22" customWidth="1" style="92" min="15" max="15"/>
  </cols>
  <sheetData>
    <row r="1" ht="33.95" customHeight="1" s="92">
      <c r="A1" s="44" t="inlineStr">
        <is>
          <t>3.3 — Personel İşe Gidiş Gelişleri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Emisyon Kaynağı</t>
        </is>
      </c>
      <c r="D3" s="1" t="inlineStr">
        <is>
          <t>Yakıt Türü</t>
        </is>
      </c>
      <c r="E3" s="1" t="inlineStr">
        <is>
          <t>Miktar</t>
        </is>
      </c>
      <c r="F3" s="45" t="inlineStr">
        <is>
          <t>Birim
🟢
(m³/L/kg/ton)</t>
        </is>
      </c>
      <c r="G3" s="1" t="inlineStr">
        <is>
          <t>NCV
🟢 Online</t>
        </is>
      </c>
      <c r="H3" s="1" t="inlineStr">
        <is>
          <t>EF CO2
🟢 Online</t>
        </is>
      </c>
      <c r="I3" s="1" t="inlineStr">
        <is>
          <t>EF CH4
🟢 Online</t>
        </is>
      </c>
      <c r="J3" s="1" t="inlineStr">
        <is>
          <t>EF N2O
🟢 Online</t>
        </is>
      </c>
      <c r="K3" s="1" t="inlineStr">
        <is>
          <t>GWP CH4
🟢</t>
        </is>
      </c>
      <c r="L3" s="1" t="inlineStr">
        <is>
          <t>GWP N2O
🟢</t>
        </is>
      </c>
      <c r="M3" s="1" t="inlineStr">
        <is>
          <t>Yoğunluk
🟢</t>
        </is>
      </c>
      <c r="N3" s="1" t="inlineStr">
        <is>
          <t>CO2e (ton)
⚪</t>
        </is>
      </c>
      <c r="O3" s="1" t="inlineStr">
        <is>
          <t>Not</t>
        </is>
      </c>
    </row>
    <row r="4" ht="20.1" customHeight="1" s="92">
      <c r="A4" s="22" t="n">
        <v>2023</v>
      </c>
      <c r="B4" s="2" t="inlineStr">
        <is>
          <t>3.3.1</t>
        </is>
      </c>
      <c r="C4" s="2" t="inlineStr">
        <is>
          <t>Şahsi Araç</t>
        </is>
      </c>
      <c r="D4" s="2" t="inlineStr">
        <is>
          <t>petrol</t>
        </is>
      </c>
      <c r="E4" s="2" t="n">
        <v>4688.01</v>
      </c>
      <c r="F4" s="30" t="inlineStr">
        <is>
          <t>L</t>
        </is>
      </c>
      <c r="G4" s="4" t="n">
        <v>44.3</v>
      </c>
      <c r="H4" s="4" t="n">
        <v>69.3</v>
      </c>
      <c r="I4" s="4" t="n">
        <v>0.025</v>
      </c>
      <c r="J4" s="4" t="n">
        <v>0.008</v>
      </c>
      <c r="K4" s="4" t="n">
        <v>29.8</v>
      </c>
      <c r="L4" s="4" t="n">
        <v>273</v>
      </c>
      <c r="M4" s="4" t="n">
        <v>0.000775</v>
      </c>
      <c r="N4" s="129" t="n">
        <v>11.6253</v>
      </c>
      <c r="O4" s="2" t="n"/>
    </row>
    <row r="5" ht="20.1" customHeight="1" s="92">
      <c r="A5" s="22" t="n">
        <v>2023</v>
      </c>
      <c r="B5" s="2" t="inlineStr">
        <is>
          <t>3.3.2</t>
        </is>
      </c>
      <c r="C5" s="2" t="inlineStr">
        <is>
          <t>Şahsi Araç</t>
        </is>
      </c>
      <c r="D5" s="2" t="inlineStr">
        <is>
          <t>diesel</t>
        </is>
      </c>
      <c r="E5" s="2" t="n">
        <v>4673.69</v>
      </c>
      <c r="F5" s="30" t="inlineStr">
        <is>
          <t>L</t>
        </is>
      </c>
      <c r="G5" s="4" t="n">
        <v>43</v>
      </c>
      <c r="H5" s="4" t="n">
        <v>74.09999999999999</v>
      </c>
      <c r="I5" s="4" t="n">
        <v>0.025</v>
      </c>
      <c r="J5" s="4" t="n">
        <v>0.004</v>
      </c>
      <c r="K5" s="4" t="n">
        <v>29.8</v>
      </c>
      <c r="L5" s="4" t="n">
        <v>273</v>
      </c>
      <c r="M5" s="4" t="n">
        <v>0.000845</v>
      </c>
      <c r="N5" s="129" t="n">
        <v>12.8955</v>
      </c>
      <c r="O5" s="2" t="n"/>
    </row>
    <row r="6" ht="20.1" customHeight="1" s="92">
      <c r="A6" s="22" t="n">
        <v>2023</v>
      </c>
      <c r="B6" s="2" t="inlineStr">
        <is>
          <t>3.3.3</t>
        </is>
      </c>
      <c r="C6" s="2" t="inlineStr">
        <is>
          <t>Servis Araçları</t>
        </is>
      </c>
      <c r="D6" s="2" t="inlineStr">
        <is>
          <t>diesel_shuttle</t>
        </is>
      </c>
      <c r="E6" s="2" t="n">
        <v>43172.1</v>
      </c>
      <c r="F6" s="30" t="inlineStr">
        <is>
          <t>L</t>
        </is>
      </c>
      <c r="G6" s="4" t="n">
        <v>43</v>
      </c>
      <c r="H6" s="4" t="n">
        <v>74.09999999999999</v>
      </c>
      <c r="I6" s="4" t="n">
        <v>0.025</v>
      </c>
      <c r="J6" s="4" t="n">
        <v>0.004</v>
      </c>
      <c r="K6" s="4" t="n">
        <v>29.8</v>
      </c>
      <c r="L6" s="4" t="n">
        <v>273</v>
      </c>
      <c r="M6" s="4" t="n">
        <v>0.000845</v>
      </c>
      <c r="N6" s="129" t="n">
        <v>119.1192</v>
      </c>
      <c r="O6" s="2" t="n"/>
    </row>
    <row r="7" ht="20.1" customHeight="1" s="92">
      <c r="A7" s="2" t="n">
        <v>2023</v>
      </c>
      <c r="B7" s="2" t="inlineStr">
        <is>
          <t>3.3.4</t>
        </is>
      </c>
      <c r="C7" s="70" t="inlineStr">
        <is>
          <t>Home ofis çalışan personel bilgisayarlarının tükettiği elektrik miktarı</t>
        </is>
      </c>
      <c r="D7" s="2" t="inlineStr">
        <is>
          <t>electric</t>
        </is>
      </c>
      <c r="E7" s="2" t="n">
        <v>8338</v>
      </c>
      <c r="F7" s="4" t="inlineStr">
        <is>
          <t>Gün</t>
        </is>
      </c>
      <c r="G7" s="4" t="n">
        <v>65</v>
      </c>
      <c r="H7" s="4" t="inlineStr">
        <is>
          <t>Watt-Saat</t>
        </is>
      </c>
      <c r="I7" s="4" t="n">
        <v>1e-06</v>
      </c>
      <c r="J7" s="4" t="inlineStr">
        <is>
          <t>MW/Watt</t>
        </is>
      </c>
      <c r="K7" s="4" t="n">
        <v>9</v>
      </c>
      <c r="L7" s="4" t="inlineStr">
        <is>
          <t>saat</t>
        </is>
      </c>
      <c r="M7" s="4" t="n">
        <v>0.479</v>
      </c>
      <c r="N7" s="129" t="n">
        <v>0</v>
      </c>
      <c r="O7" s="2" t="n"/>
    </row>
    <row r="8" ht="20.1" customHeight="1" s="92">
      <c r="A8" s="73" t="n">
        <v>2023</v>
      </c>
      <c r="B8" s="2" t="inlineStr">
        <is>
          <t>3.3.5</t>
        </is>
      </c>
      <c r="C8" s="73" t="inlineStr">
        <is>
          <t>Isınma</t>
        </is>
      </c>
      <c r="D8" s="73" t="n"/>
      <c r="E8" s="73" t="n">
        <v>8338</v>
      </c>
      <c r="F8" s="4" t="inlineStr">
        <is>
          <t>Gün</t>
        </is>
      </c>
      <c r="G8" s="72" t="n">
        <v>1.125</v>
      </c>
      <c r="H8" s="72" t="inlineStr">
        <is>
          <t>saat</t>
        </is>
      </c>
      <c r="I8" s="72" t="n">
        <v>9</v>
      </c>
      <c r="J8" s="81" t="inlineStr">
        <is>
          <t>ton CO2e per FTE Working Hour</t>
        </is>
      </c>
      <c r="K8" s="72" t="n">
        <v>0.0003</v>
      </c>
      <c r="L8" s="72" t="n"/>
      <c r="M8" s="72" t="n"/>
      <c r="N8" s="129" t="n">
        <v>0</v>
      </c>
      <c r="O8" s="73" t="n"/>
    </row>
    <row r="9" ht="20.1" customHeight="1" s="92">
      <c r="A9" s="73" t="n"/>
      <c r="B9" s="73" t="n"/>
      <c r="C9" s="73" t="n"/>
      <c r="D9" s="73" t="n"/>
      <c r="E9" s="73" t="n"/>
      <c r="F9" s="72" t="n"/>
      <c r="G9" s="72" t="n"/>
      <c r="H9" s="72" t="n"/>
      <c r="I9" s="72" t="n"/>
      <c r="J9" s="72" t="n"/>
      <c r="K9" s="72" t="n"/>
      <c r="L9" s="72" t="n"/>
      <c r="M9" s="72" t="n"/>
      <c r="N9" s="129" t="n">
        <v>29.9001</v>
      </c>
      <c r="O9" s="73" t="n"/>
    </row>
    <row r="10" ht="20.1" customHeight="1" s="92">
      <c r="A10" s="22" t="n">
        <v>2024</v>
      </c>
      <c r="B10" s="2" t="inlineStr">
        <is>
          <t>3.3.1</t>
        </is>
      </c>
      <c r="C10" s="2" t="inlineStr">
        <is>
          <t>Şahsi Araç</t>
        </is>
      </c>
      <c r="D10" s="2" t="inlineStr">
        <is>
          <t>petrol</t>
        </is>
      </c>
      <c r="E10" s="2" t="n">
        <v>12057.44</v>
      </c>
      <c r="F10" s="30" t="inlineStr">
        <is>
          <t>L</t>
        </is>
      </c>
      <c r="G10" s="4" t="n">
        <v>44.3</v>
      </c>
      <c r="H10" s="4" t="n">
        <v>69.3</v>
      </c>
      <c r="I10" s="4" t="n">
        <v>0.025</v>
      </c>
      <c r="J10" s="4" t="n">
        <v>0.008</v>
      </c>
      <c r="K10" s="4" t="n">
        <v>29.8</v>
      </c>
      <c r="L10" s="4" t="n">
        <v>273</v>
      </c>
      <c r="M10" s="4" t="n">
        <v>0.000775</v>
      </c>
      <c r="N10" s="129" t="n">
        <v>25.3549</v>
      </c>
      <c r="O10" s="2" t="n"/>
    </row>
    <row r="11" ht="20.1" customHeight="1" s="92">
      <c r="A11" s="22" t="n">
        <v>2024</v>
      </c>
      <c r="B11" s="2" t="inlineStr">
        <is>
          <t>3.3.2</t>
        </is>
      </c>
      <c r="C11" s="2" t="inlineStr">
        <is>
          <t>Şahsi Araç</t>
        </is>
      </c>
      <c r="D11" s="2" t="inlineStr">
        <is>
          <t>diesel</t>
        </is>
      </c>
      <c r="E11" s="2" t="n">
        <v>9189.32</v>
      </c>
      <c r="F11" s="30" t="inlineStr">
        <is>
          <t>L</t>
        </is>
      </c>
      <c r="G11" s="4" t="n">
        <v>43</v>
      </c>
      <c r="H11" s="4" t="n">
        <v>74.09999999999999</v>
      </c>
      <c r="I11" s="4" t="n">
        <v>0.025</v>
      </c>
      <c r="J11" s="4" t="n">
        <v>0.004</v>
      </c>
      <c r="K11" s="4" t="n">
        <v>29.8</v>
      </c>
      <c r="L11" s="4" t="n">
        <v>273</v>
      </c>
      <c r="M11" s="4" t="n">
        <v>0.000845</v>
      </c>
      <c r="N11" s="129" t="n">
        <v>121.2327</v>
      </c>
      <c r="O11" s="2" t="n"/>
    </row>
    <row r="12" ht="20.1" customHeight="1" s="92">
      <c r="A12" s="22" t="n">
        <v>2024</v>
      </c>
      <c r="B12" s="2" t="inlineStr">
        <is>
          <t>3.3.3</t>
        </is>
      </c>
      <c r="C12" s="2" t="inlineStr">
        <is>
          <t>Servis Araçları</t>
        </is>
      </c>
      <c r="D12" s="2" t="inlineStr">
        <is>
          <t>diesel_shuttle</t>
        </is>
      </c>
      <c r="E12" s="2" t="n">
        <v>43938.1</v>
      </c>
      <c r="F12" s="30" t="inlineStr">
        <is>
          <t>L</t>
        </is>
      </c>
      <c r="G12" s="4" t="n">
        <v>43</v>
      </c>
      <c r="H12" s="4" t="n">
        <v>74.09999999999999</v>
      </c>
      <c r="I12" s="4" t="n">
        <v>0.025</v>
      </c>
      <c r="J12" s="4" t="n">
        <v>0.004</v>
      </c>
      <c r="K12" s="4" t="n">
        <v>29.8</v>
      </c>
      <c r="L12" s="4" t="n">
        <v>273</v>
      </c>
      <c r="M12" s="4" t="n">
        <v>0.000845</v>
      </c>
      <c r="N12" s="129" t="n">
        <v>0</v>
      </c>
      <c r="O12" s="2" t="n"/>
    </row>
    <row r="13" ht="51" customHeight="1" s="92">
      <c r="A13" s="2" t="n">
        <v>2024</v>
      </c>
      <c r="B13" s="2" t="inlineStr">
        <is>
          <t>3.3.4</t>
        </is>
      </c>
      <c r="C13" s="70" t="inlineStr">
        <is>
          <t>Home ofis çalışan personel bilgisayarlarının tükettiği elektrik miktarı</t>
        </is>
      </c>
      <c r="D13" s="2" t="inlineStr">
        <is>
          <t>electric</t>
        </is>
      </c>
      <c r="E13" s="2" t="n">
        <v>10198</v>
      </c>
      <c r="F13" s="4" t="inlineStr">
        <is>
          <t>Gün</t>
        </is>
      </c>
      <c r="G13" s="4" t="n">
        <v>65</v>
      </c>
      <c r="H13" s="4" t="inlineStr">
        <is>
          <t>Watt-Saat</t>
        </is>
      </c>
      <c r="I13" s="4" t="n">
        <v>1e-06</v>
      </c>
      <c r="J13" s="4" t="inlineStr">
        <is>
          <t>MW/Watt</t>
        </is>
      </c>
      <c r="K13" s="4" t="n">
        <v>9</v>
      </c>
      <c r="L13" s="4" t="inlineStr">
        <is>
          <t>saat</t>
        </is>
      </c>
      <c r="M13" s="4" t="n">
        <v>0.479</v>
      </c>
      <c r="N13" s="129" t="n">
        <v>0</v>
      </c>
      <c r="O13" s="2" t="n"/>
    </row>
    <row r="14" ht="38.25" customHeight="1" s="92">
      <c r="A14" s="73" t="n">
        <v>2024</v>
      </c>
      <c r="B14" s="2" t="inlineStr">
        <is>
          <t>3.3.5</t>
        </is>
      </c>
      <c r="C14" s="73" t="inlineStr">
        <is>
          <t>Isınma</t>
        </is>
      </c>
      <c r="D14" s="73" t="n"/>
      <c r="E14" s="73" t="n">
        <v>10198</v>
      </c>
      <c r="F14" s="4" t="inlineStr">
        <is>
          <t>Gün</t>
        </is>
      </c>
      <c r="G14" s="72" t="n">
        <v>1.125</v>
      </c>
      <c r="H14" s="72" t="inlineStr">
        <is>
          <t>saat</t>
        </is>
      </c>
      <c r="I14" s="72" t="n">
        <v>9</v>
      </c>
      <c r="J14" s="81" t="inlineStr">
        <is>
          <t>ton CO2e per FTE Working Hour</t>
        </is>
      </c>
      <c r="K14" s="72" t="n">
        <v>0.0003</v>
      </c>
      <c r="L14" s="72" t="n"/>
      <c r="M14" s="72" t="n"/>
      <c r="N14" s="129" t="n">
        <v>22.0974</v>
      </c>
      <c r="O14" s="73" t="n"/>
    </row>
    <row r="15" s="92">
      <c r="A15" s="73" t="n"/>
      <c r="B15" s="73" t="n"/>
      <c r="C15" s="73" t="n"/>
      <c r="D15" s="73" t="n"/>
      <c r="E15" s="73" t="n"/>
      <c r="F15" s="72" t="n"/>
      <c r="G15" s="72" t="n"/>
      <c r="H15" s="72" t="n"/>
      <c r="I15" s="72" t="n"/>
      <c r="J15" s="72" t="n"/>
      <c r="K15" s="72" t="n"/>
      <c r="L15" s="72" t="n"/>
      <c r="M15" s="72" t="n"/>
      <c r="N15" s="129" t="n">
        <v>8.0547</v>
      </c>
      <c r="O15" s="73" t="n"/>
    </row>
    <row r="16" ht="20.1" customHeight="1" s="92">
      <c r="A16" s="22" t="n">
        <v>2025</v>
      </c>
      <c r="B16" s="2" t="inlineStr">
        <is>
          <t>3.3.1</t>
        </is>
      </c>
      <c r="C16" s="2" t="inlineStr">
        <is>
          <t>Şahsi Araç</t>
        </is>
      </c>
      <c r="D16" s="2" t="inlineStr">
        <is>
          <t>petrol</t>
        </is>
      </c>
      <c r="E16" s="2" t="n">
        <v>8910.969999999999</v>
      </c>
      <c r="F16" s="30" t="inlineStr">
        <is>
          <t>L</t>
        </is>
      </c>
      <c r="G16" s="4" t="n">
        <v>44.3</v>
      </c>
      <c r="H16" s="4" t="n">
        <v>69.3</v>
      </c>
      <c r="I16" s="4" t="n">
        <v>0.025</v>
      </c>
      <c r="J16" s="4" t="n">
        <v>0.008</v>
      </c>
      <c r="K16" s="4" t="n">
        <v>29.8</v>
      </c>
      <c r="L16" s="4" t="n">
        <v>273</v>
      </c>
      <c r="M16" s="4" t="n">
        <v>0.000775</v>
      </c>
      <c r="N16" s="129" t="n">
        <v>121.7846</v>
      </c>
      <c r="O16" s="2" t="n"/>
    </row>
    <row r="17" ht="15" customHeight="1" s="92">
      <c r="A17" s="22" t="n">
        <v>2025</v>
      </c>
      <c r="B17" s="2" t="inlineStr">
        <is>
          <t>3.3.2</t>
        </is>
      </c>
      <c r="C17" s="2" t="inlineStr">
        <is>
          <t>Şahsi Araç</t>
        </is>
      </c>
      <c r="D17" s="2" t="inlineStr">
        <is>
          <t>diesel</t>
        </is>
      </c>
      <c r="E17" s="2" t="n">
        <v>2919.24</v>
      </c>
      <c r="F17" s="30" t="inlineStr">
        <is>
          <t>L</t>
        </is>
      </c>
      <c r="G17" s="4" t="n">
        <v>43</v>
      </c>
      <c r="H17" s="4" t="n">
        <v>74.09999999999999</v>
      </c>
      <c r="I17" s="4" t="n">
        <v>0.025</v>
      </c>
      <c r="J17" s="4" t="n">
        <v>0.004</v>
      </c>
      <c r="K17" s="4" t="n">
        <v>29.8</v>
      </c>
      <c r="L17" s="4" t="n">
        <v>273</v>
      </c>
      <c r="M17" s="4" t="n">
        <v>0.000845</v>
      </c>
      <c r="N17" s="129" t="n">
        <v>0</v>
      </c>
      <c r="O17" s="2" t="n"/>
    </row>
    <row r="18" ht="15" customHeight="1" s="92">
      <c r="A18" s="22" t="n">
        <v>2025</v>
      </c>
      <c r="B18" s="2" t="inlineStr">
        <is>
          <t>3.3.3</t>
        </is>
      </c>
      <c r="C18" s="2" t="inlineStr">
        <is>
          <t>Servis Araçları</t>
        </is>
      </c>
      <c r="D18" s="2" t="inlineStr">
        <is>
          <t>diesel_shuttle</t>
        </is>
      </c>
      <c r="E18" s="2" t="n">
        <v>44138.1</v>
      </c>
      <c r="F18" s="30" t="inlineStr">
        <is>
          <t>L</t>
        </is>
      </c>
      <c r="G18" s="4" t="n">
        <v>43</v>
      </c>
      <c r="H18" s="4" t="n">
        <v>74.09999999999999</v>
      </c>
      <c r="I18" s="4" t="n">
        <v>0.025</v>
      </c>
      <c r="J18" s="4" t="n">
        <v>0.004</v>
      </c>
      <c r="K18" s="4" t="n">
        <v>29.8</v>
      </c>
      <c r="L18" s="4" t="n">
        <v>273</v>
      </c>
      <c r="M18" s="4" t="n">
        <v>0.000845</v>
      </c>
      <c r="N18" s="129" t="n">
        <v>0</v>
      </c>
      <c r="O18" s="2" t="n"/>
    </row>
    <row r="19" ht="51" customHeight="1" s="92">
      <c r="A19" s="2" t="n">
        <v>2025</v>
      </c>
      <c r="B19" s="2" t="inlineStr">
        <is>
          <t>3.3.4</t>
        </is>
      </c>
      <c r="C19" s="70" t="inlineStr">
        <is>
          <t>Home ofis çalışan personel bilgisayarlarının tükettiği elektrik miktarı</t>
        </is>
      </c>
      <c r="D19" s="2" t="inlineStr">
        <is>
          <t>electric</t>
        </is>
      </c>
      <c r="E19" s="2" t="n">
        <v>10177</v>
      </c>
      <c r="F19" s="4" t="inlineStr">
        <is>
          <t>Gün</t>
        </is>
      </c>
      <c r="G19" s="4" t="n">
        <v>65</v>
      </c>
      <c r="H19" s="4" t="inlineStr">
        <is>
          <t>Watt-Saat</t>
        </is>
      </c>
      <c r="I19" s="4" t="n">
        <v>1e-06</v>
      </c>
      <c r="J19" s="4" t="inlineStr">
        <is>
          <t>MW/Watt</t>
        </is>
      </c>
      <c r="K19" s="4" t="n">
        <v>9</v>
      </c>
      <c r="L19" s="4" t="inlineStr">
        <is>
          <t>saat</t>
        </is>
      </c>
      <c r="M19" s="4" t="n">
        <v>0.479</v>
      </c>
      <c r="N19" s="33">
        <f>E19*G19*I19*K19*M19</f>
        <v/>
      </c>
      <c r="O19" s="2" t="n"/>
    </row>
    <row r="20" ht="15.95" customHeight="1" s="92">
      <c r="A20" s="73" t="n">
        <v>2025</v>
      </c>
      <c r="B20" s="2" t="inlineStr">
        <is>
          <t>3.3.5</t>
        </is>
      </c>
      <c r="C20" s="73" t="inlineStr">
        <is>
          <t>Isınma</t>
        </is>
      </c>
      <c r="D20" s="73" t="n"/>
      <c r="E20" s="73" t="n">
        <v>10177</v>
      </c>
      <c r="F20" s="4" t="inlineStr">
        <is>
          <t>Gün</t>
        </is>
      </c>
      <c r="G20" s="72" t="n">
        <v>1.125</v>
      </c>
      <c r="H20" s="72" t="inlineStr">
        <is>
          <t>saat</t>
        </is>
      </c>
      <c r="I20" s="72" t="n">
        <v>9</v>
      </c>
      <c r="J20" s="81" t="inlineStr">
        <is>
          <t>ton CO2e per FTE Working Hour</t>
        </is>
      </c>
      <c r="K20" s="72" t="n">
        <v>0.0003</v>
      </c>
      <c r="L20" s="72" t="n"/>
      <c r="M20" s="72" t="n"/>
      <c r="N20" s="33">
        <f>E20*G20*I20*K20</f>
        <v/>
      </c>
      <c r="O20" s="2" t="n"/>
    </row>
    <row r="21" ht="15.95" customHeight="1" s="92">
      <c r="A21" s="2" t="n"/>
      <c r="B21" s="2" t="n"/>
      <c r="C21" s="2" t="n"/>
      <c r="D21" s="2" t="n"/>
      <c r="E21" s="2" t="n"/>
      <c r="F21" s="4" t="n"/>
      <c r="G21" s="4" t="n"/>
      <c r="H21" s="4" t="n"/>
      <c r="I21" s="4" t="n"/>
      <c r="J21" s="4" t="n"/>
      <c r="K21" s="4" t="n"/>
      <c r="L21" s="4" t="n"/>
      <c r="M21" s="4" t="n"/>
      <c r="N21" s="3" t="n"/>
      <c r="O21" s="2" t="n"/>
    </row>
    <row r="22" ht="15.95" customHeight="1" s="92">
      <c r="A22" s="2" t="n"/>
      <c r="B22" s="2" t="n"/>
      <c r="C22" s="2" t="n"/>
      <c r="D22" s="2" t="n"/>
      <c r="E22" s="2" t="n"/>
      <c r="F22" s="4" t="n"/>
      <c r="G22" s="4" t="n"/>
      <c r="H22" s="4" t="n"/>
      <c r="I22" s="4" t="n"/>
      <c r="J22" s="4" t="n"/>
      <c r="K22" s="4" t="n"/>
      <c r="L22" s="4" t="n"/>
      <c r="M22" s="4" t="n"/>
      <c r="N22" s="3" t="n"/>
      <c r="O22" s="2" t="n"/>
    </row>
    <row r="23" ht="15.95" customHeight="1" s="92">
      <c r="A23" s="2" t="n"/>
      <c r="B23" s="2" t="n"/>
      <c r="C23" s="2" t="n"/>
      <c r="D23" s="2" t="n"/>
      <c r="E23" s="2" t="n"/>
      <c r="F23" s="4" t="n"/>
      <c r="G23" s="4" t="n"/>
      <c r="H23" s="4" t="n"/>
      <c r="I23" s="4" t="n"/>
      <c r="J23" s="4" t="n"/>
      <c r="K23" s="4" t="n"/>
      <c r="L23" s="4" t="n"/>
      <c r="M23" s="4" t="n"/>
      <c r="N23" s="3" t="n"/>
      <c r="O23" s="2" t="n"/>
    </row>
    <row r="24">
      <c r="A24" s="2" t="n"/>
      <c r="B24" s="2" t="n"/>
      <c r="C24" s="2" t="n"/>
      <c r="D24" s="2" t="n"/>
      <c r="E24" s="2" t="n"/>
      <c r="F24" s="4" t="n"/>
      <c r="G24" s="4" t="n"/>
      <c r="H24" s="4" t="n"/>
      <c r="I24" s="4" t="n"/>
      <c r="J24" s="4" t="n"/>
      <c r="K24" s="4" t="n"/>
      <c r="L24" s="4" t="n"/>
      <c r="M24" s="4" t="n"/>
      <c r="N24" s="3" t="n"/>
      <c r="O24" s="2" t="n"/>
    </row>
    <row r="25">
      <c r="A25" s="2" t="n"/>
      <c r="B25" s="2" t="n"/>
      <c r="C25" s="2" t="n"/>
      <c r="D25" s="2" t="n"/>
      <c r="E25" s="2" t="n"/>
      <c r="F25" s="4" t="n"/>
      <c r="G25" s="4" t="n"/>
      <c r="H25" s="4" t="n"/>
      <c r="I25" s="4" t="n"/>
      <c r="J25" s="4" t="n"/>
      <c r="K25" s="4" t="n"/>
      <c r="L25" s="4" t="n"/>
      <c r="M25" s="4" t="n"/>
      <c r="N25" s="3" t="n"/>
      <c r="O25" s="2" t="n"/>
    </row>
    <row r="26">
      <c r="A26" s="2" t="n"/>
      <c r="B26" s="2" t="n"/>
      <c r="C26" s="2" t="n"/>
      <c r="D26" s="2" t="n"/>
      <c r="E26" s="2" t="n"/>
      <c r="F26" s="4" t="n"/>
      <c r="G26" s="4" t="n"/>
      <c r="H26" s="4" t="n"/>
      <c r="I26" s="4" t="n"/>
      <c r="J26" s="4" t="n"/>
      <c r="K26" s="4" t="n"/>
      <c r="L26" s="4" t="n"/>
      <c r="M26" s="4" t="n"/>
      <c r="N26" s="3" t="n"/>
      <c r="O26" s="2" t="n"/>
    </row>
    <row r="27">
      <c r="A27" s="2" t="n"/>
      <c r="B27" s="2" t="n"/>
      <c r="C27" s="2" t="n"/>
      <c r="D27" s="2" t="n"/>
      <c r="E27" s="2" t="n"/>
      <c r="F27" s="4" t="n"/>
      <c r="G27" s="4" t="n"/>
      <c r="H27" s="4" t="n"/>
      <c r="I27" s="4" t="n"/>
      <c r="J27" s="4" t="n"/>
      <c r="K27" s="4" t="n"/>
      <c r="L27" s="4" t="n"/>
      <c r="M27" s="4" t="n"/>
      <c r="N27" s="3" t="n"/>
      <c r="O27" s="2" t="n"/>
    </row>
    <row r="28">
      <c r="A28" s="2" t="n"/>
      <c r="B28" s="2" t="n"/>
      <c r="C28" s="2" t="n"/>
      <c r="D28" s="2" t="n"/>
      <c r="E28" s="2" t="n"/>
      <c r="F28" s="4" t="n"/>
      <c r="G28" s="4" t="n"/>
      <c r="H28" s="4" t="n"/>
      <c r="I28" s="4" t="n"/>
      <c r="J28" s="4" t="n"/>
      <c r="K28" s="4" t="n"/>
      <c r="L28" s="4" t="n"/>
      <c r="M28" s="4" t="n"/>
      <c r="N28" s="3" t="n"/>
      <c r="O28" s="2" t="n"/>
    </row>
    <row r="29">
      <c r="A29" s="2" t="n"/>
      <c r="B29" s="2" t="n"/>
      <c r="C29" s="2" t="n"/>
      <c r="D29" s="2" t="n"/>
      <c r="E29" s="2" t="n"/>
      <c r="F29" s="4" t="n"/>
      <c r="G29" s="4" t="n"/>
      <c r="H29" s="4" t="n"/>
      <c r="I29" s="4" t="n"/>
      <c r="J29" s="4" t="n"/>
      <c r="K29" s="4" t="n"/>
      <c r="L29" s="4" t="n"/>
      <c r="M29" s="4" t="n"/>
      <c r="N29" s="3" t="n"/>
      <c r="O29" s="2" t="n"/>
    </row>
    <row r="30">
      <c r="A30" s="2" t="n"/>
      <c r="B30" s="2" t="n"/>
      <c r="C30" s="2" t="n"/>
      <c r="D30" s="2" t="n"/>
      <c r="E30" s="2" t="n"/>
      <c r="F30" s="4" t="n"/>
      <c r="G30" s="4" t="n"/>
      <c r="H30" s="4" t="n"/>
      <c r="I30" s="4" t="n"/>
      <c r="J30" s="4" t="n"/>
      <c r="K30" s="4" t="n"/>
      <c r="L30" s="4" t="n"/>
      <c r="M30" s="4" t="n"/>
      <c r="N30" s="3" t="n"/>
      <c r="O30" s="2" t="n"/>
    </row>
    <row r="31">
      <c r="A31" s="2" t="n"/>
      <c r="B31" s="2" t="n"/>
      <c r="C31" s="2" t="n"/>
      <c r="D31" s="2" t="n"/>
      <c r="E31" s="2" t="n"/>
      <c r="F31" s="4" t="n"/>
      <c r="G31" s="4" t="n"/>
      <c r="H31" s="4" t="n"/>
      <c r="I31" s="4" t="n"/>
      <c r="J31" s="4" t="n"/>
      <c r="K31" s="4" t="n"/>
      <c r="L31" s="4" t="n"/>
      <c r="M31" s="4" t="n"/>
      <c r="N31" s="3" t="n"/>
      <c r="O31" s="2" t="n"/>
    </row>
    <row r="32">
      <c r="A32" s="2" t="n"/>
      <c r="B32" s="2" t="n"/>
      <c r="C32" s="2" t="n"/>
      <c r="D32" s="2" t="n"/>
      <c r="E32" s="2" t="n"/>
      <c r="F32" s="4" t="n"/>
      <c r="G32" s="4" t="n"/>
      <c r="H32" s="4" t="n"/>
      <c r="I32" s="4" t="n"/>
      <c r="J32" s="4" t="n"/>
      <c r="K32" s="4" t="n"/>
      <c r="L32" s="4" t="n"/>
      <c r="M32" s="4" t="n"/>
      <c r="N32" s="3" t="n"/>
      <c r="O32" s="2" t="n"/>
    </row>
    <row r="33">
      <c r="A33" s="2" t="n"/>
      <c r="B33" s="2" t="n"/>
      <c r="C33" s="2" t="n"/>
      <c r="D33" s="2" t="n"/>
      <c r="E33" s="2" t="n"/>
      <c r="F33" s="4" t="n"/>
      <c r="G33" s="4" t="n"/>
      <c r="H33" s="4" t="n"/>
      <c r="I33" s="4" t="n"/>
      <c r="J33" s="4" t="n"/>
      <c r="K33" s="4" t="n"/>
      <c r="L33" s="4" t="n"/>
      <c r="M33" s="4" t="n"/>
      <c r="N33" s="3" t="n"/>
      <c r="O33" s="2" t="n"/>
    </row>
    <row r="34">
      <c r="A34" s="2" t="n"/>
      <c r="B34" s="2" t="n"/>
      <c r="C34" s="2" t="n"/>
      <c r="D34" s="2" t="n"/>
      <c r="E34" s="2" t="n"/>
      <c r="F34" s="4" t="n"/>
      <c r="G34" s="4" t="n"/>
      <c r="H34" s="4" t="n"/>
      <c r="I34" s="4" t="n"/>
      <c r="J34" s="4" t="n"/>
      <c r="K34" s="4" t="n"/>
      <c r="L34" s="4" t="n"/>
      <c r="M34" s="4" t="n"/>
      <c r="N34" s="3" t="n"/>
      <c r="O34" s="2" t="n"/>
    </row>
    <row r="35"/>
    <row r="36">
      <c r="A36" s="107" t="inlineStr">
        <is>
          <t>NOTLAR VE KAYNAKLAR</t>
        </is>
      </c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6" t="n"/>
    </row>
    <row r="37">
      <c r="A37" s="53" t="inlineStr">
        <is>
          <t>• Yakıt türü: petrol | diesel | diesel_shuttle</t>
        </is>
      </c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</row>
    <row r="38">
      <c r="A38" s="39" t="inlineStr">
        <is>
          <t>• Kaynak: IPCC 2006 REF#3 &amp; REF#5</t>
        </is>
      </c>
    </row>
    <row r="39"/>
    <row r="40">
      <c r="A40" s="5" t="n"/>
      <c r="B40" s="6" t="inlineStr">
        <is>
          <t>← YOU FILL THESE (blue)</t>
        </is>
      </c>
    </row>
    <row r="41">
      <c r="A41" s="7" t="n"/>
      <c r="B41" s="8" t="inlineStr">
        <is>
          <t>← AUTO-FILLED FROM ONLINE — you can override (green)</t>
        </is>
      </c>
    </row>
    <row r="42">
      <c r="A42" s="9" t="n"/>
      <c r="B42" s="10" t="inlineStr">
        <is>
          <t>← DO NOT EDIT — calculated by system (grey)</t>
        </is>
      </c>
    </row>
    <row r="43">
      <c r="A43" s="11" t="n"/>
      <c r="B43" s="12" t="inlineStr">
        <is>
          <t>← TOTALS (yellow)</t>
        </is>
      </c>
    </row>
  </sheetData>
  <mergeCells count="5">
    <mergeCell ref="A38:O38"/>
    <mergeCell ref="A2:O2"/>
    <mergeCell ref="A36:O36"/>
    <mergeCell ref="A1:O1"/>
    <mergeCell ref="A37:O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H19" sqref="H19"/>
    </sheetView>
  </sheetViews>
  <sheetFormatPr baseColWidth="8" defaultRowHeight="15"/>
  <cols>
    <col width="8" customWidth="1" style="92" min="1" max="1"/>
    <col width="10" customWidth="1" style="92" min="2" max="2"/>
    <col width="26" customWidth="1" style="92" min="3" max="3"/>
    <col width="22" customWidth="1" style="92" min="4" max="4"/>
    <col width="18" customWidth="1" style="92" min="5" max="5"/>
    <col width="14" customWidth="1" style="92" min="6" max="8"/>
    <col width="24" customWidth="1" style="92" min="9" max="9"/>
  </cols>
  <sheetData>
    <row r="1" ht="33.95" customHeight="1" s="92">
      <c r="A1" s="44" t="inlineStr">
        <is>
          <t>3.4 — İş Seyahati — Karayolu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Emisyon Kaynağı</t>
        </is>
      </c>
      <c r="D3" s="1" t="inlineStr">
        <is>
          <t>Taşıma Tipi</t>
        </is>
      </c>
      <c r="E3" s="1" t="inlineStr">
        <is>
          <t>Araç Tipi</t>
        </is>
      </c>
      <c r="F3" s="45" t="inlineStr">
        <is>
          <t>Mesafe
(km/mil/m)</t>
        </is>
      </c>
      <c r="G3" s="45" t="inlineStr">
        <is>
          <t>Birim
🟢
(km/mil/m)</t>
        </is>
      </c>
      <c r="H3" s="1" t="inlineStr">
        <is>
          <t>EF
(kg CO2e/tkm)
🟢 Online</t>
        </is>
      </c>
      <c r="I3" s="1" t="inlineStr">
        <is>
          <t>CO2e (ton)
⚪</t>
        </is>
      </c>
      <c r="J3" s="1" t="inlineStr">
        <is>
          <t>Not</t>
        </is>
      </c>
    </row>
    <row r="4" ht="20.1" customHeight="1" s="92">
      <c r="A4" s="22" t="n">
        <v>2023</v>
      </c>
      <c r="B4" s="2" t="inlineStr">
        <is>
          <t>3.4.1</t>
        </is>
      </c>
      <c r="C4" s="2" t="inlineStr">
        <is>
          <t>İş Seyahati</t>
        </is>
      </c>
      <c r="D4" s="2" t="inlineStr">
        <is>
          <t>Karayolu (Dizel)</t>
        </is>
      </c>
      <c r="E4" s="2" t="inlineStr">
        <is>
          <t>Small Car</t>
        </is>
      </c>
      <c r="F4" s="2" t="n">
        <v>0</v>
      </c>
      <c r="G4" s="30" t="inlineStr">
        <is>
          <t>km</t>
        </is>
      </c>
      <c r="H4" s="17" t="n">
        <v>0.14844</v>
      </c>
      <c r="I4" s="129" t="n">
        <v>0</v>
      </c>
      <c r="J4" s="2" t="n"/>
    </row>
    <row r="5" ht="20.1" customHeight="1" s="92">
      <c r="A5" s="22" t="n">
        <v>2023</v>
      </c>
      <c r="B5" s="2" t="inlineStr">
        <is>
          <t>3.4.2</t>
        </is>
      </c>
      <c r="C5" s="2" t="inlineStr">
        <is>
          <t>İş Seyahati</t>
        </is>
      </c>
      <c r="D5" s="2" t="inlineStr">
        <is>
          <t>Karayolu (Benzin)</t>
        </is>
      </c>
      <c r="E5" s="2" t="inlineStr">
        <is>
          <t>Small Car</t>
        </is>
      </c>
      <c r="F5" s="2" t="n">
        <v>0</v>
      </c>
      <c r="G5" s="30" t="inlineStr">
        <is>
          <t>km</t>
        </is>
      </c>
      <c r="H5" s="17" t="n">
        <v>0.14844</v>
      </c>
      <c r="I5" s="129" t="n">
        <v>0</v>
      </c>
      <c r="J5" s="2" t="n"/>
    </row>
    <row r="6" ht="20.1" customHeight="1" s="92">
      <c r="A6" s="2" t="n"/>
      <c r="B6" s="2" t="n"/>
      <c r="C6" s="2" t="n"/>
      <c r="D6" s="2" t="n"/>
      <c r="E6" s="2" t="n"/>
      <c r="F6" s="2" t="n"/>
      <c r="G6" s="4" t="n"/>
      <c r="H6" s="4" t="n"/>
      <c r="I6" s="129" t="n">
        <v>0</v>
      </c>
      <c r="J6" s="2" t="n"/>
    </row>
    <row r="7" ht="20.1" customHeight="1" s="92">
      <c r="A7" s="22" t="n">
        <v>2024</v>
      </c>
      <c r="B7" s="2" t="inlineStr">
        <is>
          <t>3.4.1</t>
        </is>
      </c>
      <c r="C7" s="2" t="inlineStr">
        <is>
          <t>İş Seyahati</t>
        </is>
      </c>
      <c r="D7" s="2" t="inlineStr">
        <is>
          <t>Karayolu (Dizel)</t>
        </is>
      </c>
      <c r="E7" s="2" t="inlineStr">
        <is>
          <t>Small Car</t>
        </is>
      </c>
      <c r="F7" s="2" t="n">
        <v>0</v>
      </c>
      <c r="G7" s="30" t="inlineStr">
        <is>
          <t>km</t>
        </is>
      </c>
      <c r="H7" s="17" t="n">
        <v>0.14844</v>
      </c>
      <c r="I7" s="129" t="n">
        <v>0</v>
      </c>
      <c r="J7" s="2" t="n"/>
    </row>
    <row r="8" ht="20.1" customHeight="1" s="92">
      <c r="A8" s="22" t="n">
        <v>2024</v>
      </c>
      <c r="B8" s="2" t="inlineStr">
        <is>
          <t>3.4.2</t>
        </is>
      </c>
      <c r="C8" s="2" t="inlineStr">
        <is>
          <t>İş Seyahati</t>
        </is>
      </c>
      <c r="D8" s="2" t="inlineStr">
        <is>
          <t>Karayolu (Benzin)</t>
        </is>
      </c>
      <c r="E8" s="2" t="inlineStr">
        <is>
          <t>Small Car</t>
        </is>
      </c>
      <c r="F8" s="2" t="n">
        <v>0</v>
      </c>
      <c r="G8" s="30" t="inlineStr">
        <is>
          <t>km</t>
        </is>
      </c>
      <c r="H8" s="17" t="n">
        <v>0.14844</v>
      </c>
      <c r="I8" s="129" t="n">
        <v>0</v>
      </c>
      <c r="J8" s="2" t="n"/>
    </row>
    <row r="9" ht="20.1" customHeight="1" s="92">
      <c r="A9" s="73" t="n"/>
      <c r="B9" s="73" t="n"/>
      <c r="C9" s="73" t="n"/>
      <c r="D9" s="73" t="n"/>
      <c r="E9" s="73" t="n"/>
      <c r="F9" s="73" t="n"/>
      <c r="G9" s="72" t="n"/>
      <c r="H9" s="72" t="n"/>
      <c r="I9" s="129" t="n">
        <v>0</v>
      </c>
      <c r="J9" s="73" t="n"/>
    </row>
    <row r="10" ht="20.1" customHeight="1" s="92">
      <c r="A10" s="22" t="n">
        <v>2025</v>
      </c>
      <c r="B10" s="2" t="inlineStr">
        <is>
          <t>3.4.1</t>
        </is>
      </c>
      <c r="C10" s="2" t="inlineStr">
        <is>
          <t>İş Seyahati</t>
        </is>
      </c>
      <c r="D10" s="2" t="inlineStr">
        <is>
          <t>Karayolu (Dizel)</t>
        </is>
      </c>
      <c r="E10" s="2" t="inlineStr">
        <is>
          <t>Small Car</t>
        </is>
      </c>
      <c r="F10" s="2" t="n">
        <v>0</v>
      </c>
      <c r="G10" s="30" t="inlineStr">
        <is>
          <t>km</t>
        </is>
      </c>
      <c r="H10" s="17" t="n">
        <v>0.14844</v>
      </c>
      <c r="I10" s="33">
        <f>IF(F10=0,0,F10*IF(LOWER(G10)="km",1,IF(OR(LOWER(G10)="mil",LOWER(G10)="mile",LOWER(G10)="miles"),1.60934,IF(LOWER(G10)="m",0.001,1)))*H10/1000)</f>
        <v/>
      </c>
      <c r="J10" s="2" t="n"/>
    </row>
    <row r="11" ht="20.1" customHeight="1" s="92">
      <c r="A11" s="22" t="n">
        <v>2025</v>
      </c>
      <c r="B11" s="2" t="inlineStr">
        <is>
          <t>3.4.2</t>
        </is>
      </c>
      <c r="C11" s="2" t="inlineStr">
        <is>
          <t>İş Seyahati</t>
        </is>
      </c>
      <c r="D11" s="2" t="inlineStr">
        <is>
          <t>Karayolu (Benzin)</t>
        </is>
      </c>
      <c r="E11" s="2" t="inlineStr">
        <is>
          <t>Small Car</t>
        </is>
      </c>
      <c r="F11" s="2" t="n">
        <v>0</v>
      </c>
      <c r="G11" s="30" t="inlineStr">
        <is>
          <t>km</t>
        </is>
      </c>
      <c r="H11" s="17" t="n">
        <v>0.14844</v>
      </c>
      <c r="I11" s="33">
        <f>IF(F11=0,0,F11*IF(LOWER(G11)="km",1,IF(OR(LOWER(G11)="mil",LOWER(G11)="mile",LOWER(G11)="miles"),1.60934,IF(LOWER(G11)="m",0.001,1)))*H11/1000)</f>
        <v/>
      </c>
      <c r="J11" s="2" t="n"/>
    </row>
    <row r="12" ht="20.1" customHeight="1" s="92">
      <c r="A12" s="2" t="n"/>
      <c r="B12" s="2" t="n"/>
      <c r="C12" s="2" t="n"/>
      <c r="D12" s="2" t="n"/>
      <c r="E12" s="2" t="n"/>
      <c r="F12" s="2" t="n"/>
      <c r="G12" s="4" t="n"/>
      <c r="H12" s="4" t="n"/>
      <c r="I12" s="3" t="n"/>
      <c r="J12" s="2" t="n"/>
    </row>
    <row r="13"/>
    <row r="14" ht="20.1" customHeight="1" s="92">
      <c r="A14" s="107" t="inlineStr">
        <is>
          <t>NOTLAR VE KAYNAKLAR</t>
        </is>
      </c>
      <c r="B14" s="42" t="n"/>
      <c r="C14" s="42" t="n"/>
      <c r="D14" s="42" t="n"/>
      <c r="E14" s="42" t="n"/>
      <c r="F14" s="42" t="n"/>
      <c r="G14" s="42" t="n"/>
      <c r="H14" s="42" t="n"/>
      <c r="I14" s="46" t="n"/>
      <c r="J14" s="43" t="n"/>
    </row>
    <row r="15" ht="15" customHeight="1" s="92">
      <c r="A15" s="39" t="inlineStr">
        <is>
          <t>• İş amacıyla yapılan karayolu seyahatleri.</t>
        </is>
      </c>
    </row>
    <row r="16" ht="15" customHeight="1" s="92">
      <c r="A16" s="39" t="inlineStr">
        <is>
          <t>• Kaynak: DEFRA UK GHG Conversion Factors</t>
        </is>
      </c>
    </row>
    <row r="17"/>
    <row r="18" ht="15.95" customHeight="1" s="92">
      <c r="A18" s="5" t="n"/>
      <c r="B18" s="6" t="inlineStr">
        <is>
          <t>← YOU FILL THESE (blue)</t>
        </is>
      </c>
    </row>
    <row r="19" ht="15.95" customHeight="1" s="92">
      <c r="A19" s="7" t="n"/>
      <c r="B19" s="8" t="inlineStr">
        <is>
          <t>← AUTO-FILLED FROM ONLINE — you can override (green)</t>
        </is>
      </c>
    </row>
    <row r="20" ht="15.95" customHeight="1" s="92">
      <c r="A20" s="9" t="n"/>
      <c r="B20" s="10" t="inlineStr">
        <is>
          <t>← DO NOT EDIT — calculated by system (grey)</t>
        </is>
      </c>
    </row>
    <row r="21" ht="15.95" customHeight="1" s="92">
      <c r="A21" s="11" t="n"/>
      <c r="B21" s="12" t="inlineStr">
        <is>
          <t>← TOTALS (yellow)</t>
        </is>
      </c>
    </row>
  </sheetData>
  <mergeCells count="5">
    <mergeCell ref="A15:I15"/>
    <mergeCell ref="A2:I2"/>
    <mergeCell ref="A14:I14"/>
    <mergeCell ref="A1:I1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L15" sqref="L15"/>
    </sheetView>
  </sheetViews>
  <sheetFormatPr baseColWidth="8" defaultRowHeight="15"/>
  <cols>
    <col width="8" customWidth="1" style="92" min="1" max="1"/>
    <col width="10" customWidth="1" style="92" min="2" max="2"/>
    <col width="28" customWidth="1" style="92" min="3" max="3"/>
    <col width="14" customWidth="1" style="92" min="4" max="4"/>
    <col width="16" customWidth="1" style="92" min="5" max="5"/>
    <col width="14" customWidth="1" style="92" min="6" max="6"/>
    <col width="22" customWidth="1" style="92" min="7" max="7"/>
    <col width="14" customWidth="1" style="92" min="8" max="8"/>
    <col width="22" customWidth="1" style="92" min="9" max="9"/>
  </cols>
  <sheetData>
    <row r="1" ht="33.95" customHeight="1" s="92">
      <c r="A1" s="44" t="inlineStr">
        <is>
          <t>3.5 — Uçak Bileti &amp; Konaklama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Kalem</t>
        </is>
      </c>
      <c r="D3" s="1" t="inlineStr">
        <is>
          <t>Miktar (TL)</t>
        </is>
      </c>
      <c r="E3" s="1" t="inlineStr">
        <is>
          <t>Dolar Kuru
(TL/USD)</t>
        </is>
      </c>
      <c r="F3" s="1" t="inlineStr">
        <is>
          <t>2022 USD
⚪</t>
        </is>
      </c>
      <c r="G3" s="1" t="inlineStr">
        <is>
          <t>EF
(ton CO2e/2021 USD)
🟢 Online</t>
        </is>
      </c>
      <c r="H3" s="1" t="inlineStr">
        <is>
          <t>CO2e (ton)
⚪</t>
        </is>
      </c>
      <c r="I3" s="1" t="inlineStr">
        <is>
          <t>Not</t>
        </is>
      </c>
    </row>
    <row r="4" ht="20.1" customHeight="1" s="92">
      <c r="A4" s="22" t="n">
        <v>2023</v>
      </c>
      <c r="B4" s="2" t="inlineStr">
        <is>
          <t>3.5.1</t>
        </is>
      </c>
      <c r="C4" s="2" t="inlineStr">
        <is>
          <t xml:space="preserve">Uçak Bileti </t>
        </is>
      </c>
      <c r="D4" s="2" t="n">
        <v>52673.12</v>
      </c>
      <c r="E4" s="2" t="n">
        <v>1</v>
      </c>
      <c r="F4" s="129" t="n">
        <v>52673.12</v>
      </c>
      <c r="G4" s="4" t="n">
        <v>0.000976</v>
      </c>
      <c r="H4" s="129" t="n">
        <v>0.0514</v>
      </c>
      <c r="I4" s="2" t="n"/>
    </row>
    <row r="5" ht="20.1" customHeight="1" s="92">
      <c r="A5" s="22" t="n">
        <v>2023</v>
      </c>
      <c r="B5" s="2" t="inlineStr">
        <is>
          <t>3.5.2</t>
        </is>
      </c>
      <c r="C5" s="2" t="inlineStr">
        <is>
          <t>Konaklama (Hotel)</t>
        </is>
      </c>
      <c r="D5" s="2" t="n">
        <v>316</v>
      </c>
      <c r="E5" s="2" t="n">
        <v>1</v>
      </c>
      <c r="F5" s="129" t="n">
        <v>316</v>
      </c>
      <c r="G5" s="4" t="n">
        <v>0.0321</v>
      </c>
      <c r="H5" s="129" t="n">
        <v>0.0101</v>
      </c>
      <c r="I5" s="2" t="n"/>
    </row>
    <row r="6" ht="20.1" customHeight="1" s="92">
      <c r="A6" s="22" t="n"/>
      <c r="B6" s="2" t="n"/>
      <c r="C6" s="2" t="n"/>
      <c r="D6" s="2" t="n"/>
      <c r="E6" s="2" t="n"/>
      <c r="F6" s="129" t="n">
        <v>67483.4025</v>
      </c>
      <c r="G6" s="4" t="n"/>
      <c r="H6" s="129" t="n">
        <v>0.0659</v>
      </c>
      <c r="I6" s="2" t="n"/>
    </row>
    <row r="7" ht="20.1" customHeight="1" s="92">
      <c r="A7" s="22" t="n">
        <v>2024</v>
      </c>
      <c r="B7" s="2" t="inlineStr">
        <is>
          <t>3.5.1</t>
        </is>
      </c>
      <c r="C7" s="2" t="inlineStr">
        <is>
          <t>Uçak Bileti Yurt İçi</t>
        </is>
      </c>
      <c r="D7" s="2" t="n">
        <v>2193210.58</v>
      </c>
      <c r="E7" s="2" t="n">
        <v>32.5</v>
      </c>
      <c r="F7" s="129" t="n">
        <v>20695.1043</v>
      </c>
      <c r="G7" s="4" t="n">
        <v>0.000976</v>
      </c>
      <c r="H7" s="129" t="n">
        <v>0.0202</v>
      </c>
      <c r="I7" s="2" t="n"/>
    </row>
    <row r="8" ht="20.1" customHeight="1" s="92">
      <c r="A8" s="22" t="n">
        <v>2024</v>
      </c>
      <c r="B8" s="2" t="inlineStr">
        <is>
          <t>3.5.2</t>
        </is>
      </c>
      <c r="C8" s="2" t="inlineStr">
        <is>
          <t>Uçak Bileti Yurt Dışı</t>
        </is>
      </c>
      <c r="D8" s="2" t="n">
        <v>672590.89</v>
      </c>
      <c r="E8" s="2" t="n">
        <v>32.5</v>
      </c>
      <c r="F8" s="129" t="n">
        <v>149</v>
      </c>
      <c r="G8" s="4" t="n">
        <v>0.000976</v>
      </c>
      <c r="H8" s="129" t="n">
        <v>0.0048</v>
      </c>
      <c r="I8" s="2" t="n"/>
    </row>
    <row r="9" ht="20.1" customHeight="1" s="92">
      <c r="A9" s="22" t="n">
        <v>2024</v>
      </c>
      <c r="B9" s="2" t="inlineStr">
        <is>
          <t>3.5.3</t>
        </is>
      </c>
      <c r="C9" s="2" t="inlineStr">
        <is>
          <t>Konaklama - TR</t>
        </is>
      </c>
      <c r="D9" s="2" t="n">
        <v>149</v>
      </c>
      <c r="E9" s="2" t="n">
        <v>1</v>
      </c>
      <c r="F9" s="129" t="n">
        <v>1</v>
      </c>
      <c r="G9" s="4" t="n">
        <v>0.0321</v>
      </c>
      <c r="H9" s="129" t="n">
        <v>0</v>
      </c>
      <c r="I9" s="2" t="inlineStr">
        <is>
          <t>Gece/Oda</t>
        </is>
      </c>
    </row>
    <row r="10" ht="20.1" customHeight="1" s="92">
      <c r="A10" s="22" t="n">
        <v>2024</v>
      </c>
      <c r="B10" s="2" t="inlineStr">
        <is>
          <t>3.5.4</t>
        </is>
      </c>
      <c r="C10" s="2" t="inlineStr">
        <is>
          <t>Konaklama - Almanya</t>
        </is>
      </c>
      <c r="D10" s="2" t="n">
        <v>1</v>
      </c>
      <c r="E10" s="2" t="n">
        <v>1</v>
      </c>
      <c r="F10" s="129" t="n">
        <v>1</v>
      </c>
      <c r="G10" s="4" t="n">
        <v>0.0132</v>
      </c>
      <c r="H10" s="129" t="n">
        <v>0</v>
      </c>
      <c r="I10" s="2" t="inlineStr">
        <is>
          <t>Gece/Oda</t>
        </is>
      </c>
    </row>
    <row r="11" ht="20.1" customHeight="1" s="92">
      <c r="A11" s="22" t="n">
        <v>2024</v>
      </c>
      <c r="B11" s="2" t="inlineStr">
        <is>
          <t>3.5.5</t>
        </is>
      </c>
      <c r="C11" s="2" t="inlineStr">
        <is>
          <t>Konaklama - İtalya</t>
        </is>
      </c>
      <c r="D11" s="2" t="n">
        <v>1</v>
      </c>
      <c r="E11" s="2" t="n">
        <v>1</v>
      </c>
      <c r="F11" s="129" t="n">
        <v>56359.7225</v>
      </c>
      <c r="G11" s="4" t="n">
        <v>0.0143</v>
      </c>
      <c r="H11" s="129" t="n">
        <v>0.055</v>
      </c>
      <c r="I11" s="2" t="inlineStr">
        <is>
          <t>Gece/Oda</t>
        </is>
      </c>
    </row>
    <row r="12" ht="20.1" customHeight="1" s="92">
      <c r="A12" s="75" t="n"/>
      <c r="B12" s="73" t="n"/>
      <c r="C12" s="73" t="n"/>
      <c r="D12" s="73" t="n"/>
      <c r="E12" s="73" t="n"/>
      <c r="F12" s="129" t="n">
        <v>9673.6911</v>
      </c>
      <c r="G12" s="72" t="n"/>
      <c r="H12" s="129" t="n">
        <v>0.0094</v>
      </c>
      <c r="I12" s="73" t="n"/>
    </row>
    <row r="13" ht="20.1" customHeight="1" s="92">
      <c r="A13" s="22" t="n">
        <v>2025</v>
      </c>
      <c r="B13" s="2" t="inlineStr">
        <is>
          <t>3.5.1</t>
        </is>
      </c>
      <c r="C13" s="2" t="inlineStr">
        <is>
          <t>Uçak Bileti Yurt İçi</t>
        </is>
      </c>
      <c r="D13" s="80" t="n">
        <v>2226209.04</v>
      </c>
      <c r="E13" s="2" t="n">
        <v>39.5</v>
      </c>
      <c r="F13" s="129" t="n">
        <v>381</v>
      </c>
      <c r="G13" s="4" t="n">
        <v>0.000976</v>
      </c>
      <c r="H13" s="129" t="n">
        <v>0.0122</v>
      </c>
      <c r="I13" s="2" t="n"/>
    </row>
    <row r="14" ht="20.1" customHeight="1" s="92">
      <c r="A14" s="22" t="n">
        <v>2025</v>
      </c>
      <c r="B14" s="2" t="inlineStr">
        <is>
          <t>3.5.2</t>
        </is>
      </c>
      <c r="C14" s="2" t="inlineStr">
        <is>
          <t>Uçak Bileti Yurt Dışı</t>
        </is>
      </c>
      <c r="D14" s="80" t="n">
        <v>382110.8</v>
      </c>
      <c r="E14" s="2" t="n">
        <v>39.5</v>
      </c>
      <c r="F14" s="129" t="n">
        <v>14</v>
      </c>
      <c r="G14" s="4" t="n">
        <v>0.000976</v>
      </c>
      <c r="H14" s="129" t="n">
        <v>0.0002</v>
      </c>
      <c r="I14" s="2" t="n"/>
    </row>
    <row r="15" ht="20.1" customHeight="1" s="92">
      <c r="A15" s="22" t="n">
        <v>2025</v>
      </c>
      <c r="B15" s="2" t="inlineStr">
        <is>
          <t>3.5.3</t>
        </is>
      </c>
      <c r="C15" s="2" t="inlineStr">
        <is>
          <t>Konaklama - TR</t>
        </is>
      </c>
      <c r="D15" s="2" t="n">
        <v>381</v>
      </c>
      <c r="E15" s="2" t="n">
        <v>1</v>
      </c>
      <c r="F15" s="129" t="n">
        <v>9</v>
      </c>
      <c r="G15" s="4" t="n">
        <v>0.0321</v>
      </c>
      <c r="H15" s="129" t="n">
        <v>0.0001</v>
      </c>
      <c r="I15" s="2" t="inlineStr">
        <is>
          <t>Gece/Oda</t>
        </is>
      </c>
    </row>
    <row r="16" ht="20.1" customHeight="1" s="92">
      <c r="A16" s="22" t="n">
        <v>2025</v>
      </c>
      <c r="B16" s="2" t="inlineStr">
        <is>
          <t>3.5.4</t>
        </is>
      </c>
      <c r="C16" s="2" t="inlineStr">
        <is>
          <t>Konaklama - Almanya</t>
        </is>
      </c>
      <c r="D16" s="2" t="n">
        <v>14</v>
      </c>
      <c r="E16" s="2" t="n">
        <v>1</v>
      </c>
      <c r="F16" s="129" t="n">
        <v>2</v>
      </c>
      <c r="G16" s="4" t="n">
        <v>0.0132</v>
      </c>
      <c r="H16" s="129" t="n">
        <v>0</v>
      </c>
      <c r="I16" s="2" t="inlineStr">
        <is>
          <t>Gece/Oda</t>
        </is>
      </c>
    </row>
    <row r="17" ht="20.1" customHeight="1" s="92">
      <c r="A17" s="22" t="n">
        <v>2025</v>
      </c>
      <c r="B17" s="2" t="inlineStr">
        <is>
          <t>3.5.5</t>
        </is>
      </c>
      <c r="C17" s="2" t="inlineStr">
        <is>
          <t>Konaklama - İspanya</t>
        </is>
      </c>
      <c r="D17" s="2" t="n">
        <v>9</v>
      </c>
      <c r="E17" s="2" t="n">
        <v>1</v>
      </c>
      <c r="F17" s="33">
        <f>D17/E17</f>
        <v/>
      </c>
      <c r="G17" s="4" t="n">
        <v>0.007</v>
      </c>
      <c r="H17" s="18">
        <f>F17*G17</f>
        <v/>
      </c>
      <c r="I17" s="2" t="inlineStr">
        <is>
          <t>Gece/Oda</t>
        </is>
      </c>
    </row>
    <row r="18" ht="20.1" customHeight="1" s="92">
      <c r="A18" s="22" t="n">
        <v>2025</v>
      </c>
      <c r="B18" s="2" t="inlineStr">
        <is>
          <t>3.5.6</t>
        </is>
      </c>
      <c r="C18" s="59" t="inlineStr">
        <is>
          <t>Konaklama (Hotel)
Romania</t>
        </is>
      </c>
      <c r="D18" s="73" t="n">
        <v>2</v>
      </c>
      <c r="E18" s="73" t="n">
        <v>1</v>
      </c>
      <c r="F18" s="33">
        <f>D18/E18</f>
        <v/>
      </c>
      <c r="G18" s="72" t="n">
        <v>0.0168</v>
      </c>
      <c r="H18" s="61">
        <f>F18*G18</f>
        <v/>
      </c>
      <c r="I18" s="2" t="inlineStr">
        <is>
          <t>Gece/Oda</t>
        </is>
      </c>
    </row>
    <row r="19" ht="20.1" customHeight="1" s="92">
      <c r="A19" s="75" t="n"/>
      <c r="B19" s="73" t="n"/>
      <c r="C19" s="73" t="n"/>
      <c r="D19" s="73" t="n"/>
      <c r="E19" s="73" t="n"/>
      <c r="F19" s="33" t="n"/>
      <c r="G19" s="72" t="n"/>
      <c r="H19" s="61" t="n"/>
      <c r="I19" s="73" t="n"/>
    </row>
    <row r="20" ht="20.1" customHeight="1" s="92">
      <c r="A20" s="22" t="n"/>
      <c r="B20" s="2" t="n"/>
      <c r="C20" s="2" t="n"/>
      <c r="D20" s="2" t="n"/>
      <c r="E20" s="2" t="n"/>
      <c r="F20" s="33" t="n"/>
      <c r="G20" s="4" t="n"/>
      <c r="H20" s="18" t="n"/>
      <c r="I20" s="2" t="n"/>
    </row>
    <row r="21" ht="20.1" customHeight="1" s="92">
      <c r="A21" s="22" t="n"/>
      <c r="B21" s="2" t="n"/>
      <c r="C21" s="2" t="n"/>
      <c r="D21" s="2" t="n"/>
      <c r="E21" s="2" t="n"/>
      <c r="F21" s="33" t="n"/>
      <c r="G21" s="4" t="n"/>
      <c r="H21" s="18" t="n"/>
      <c r="I21" s="2" t="n"/>
    </row>
    <row r="22" ht="20.1" customHeight="1" s="92">
      <c r="A22" s="22" t="n"/>
      <c r="B22" s="2" t="n"/>
      <c r="C22" s="2" t="n"/>
      <c r="D22" s="2" t="n"/>
      <c r="E22" s="2" t="n"/>
      <c r="F22" s="33" t="n"/>
      <c r="G22" s="4" t="n"/>
      <c r="H22" s="18" t="n"/>
      <c r="I22" s="2" t="n"/>
    </row>
    <row r="23" ht="20.1" customHeight="1" s="92">
      <c r="A23" s="22" t="n"/>
      <c r="B23" s="2" t="n"/>
      <c r="C23" s="2" t="n"/>
      <c r="D23" s="2" t="n"/>
      <c r="E23" s="2" t="n"/>
      <c r="F23" s="33" t="n"/>
      <c r="G23" s="4" t="n"/>
      <c r="H23" s="18" t="n"/>
      <c r="I23" s="2" t="n"/>
    </row>
    <row r="24" ht="20.1" customHeight="1" s="92">
      <c r="A24" s="22" t="n"/>
      <c r="B24" s="2" t="n"/>
      <c r="C24" s="2" t="n"/>
      <c r="D24" s="2" t="n"/>
      <c r="E24" s="2" t="n"/>
      <c r="F24" s="33" t="n"/>
      <c r="G24" s="4" t="n"/>
      <c r="H24" s="18" t="n"/>
      <c r="I24" s="2" t="n"/>
    </row>
    <row r="25">
      <c r="A25" s="75" t="n"/>
      <c r="B25" s="73" t="n"/>
      <c r="C25" s="73" t="n"/>
      <c r="D25" s="73" t="n"/>
      <c r="E25" s="73" t="n"/>
      <c r="F25" s="33" t="n"/>
      <c r="G25" s="72" t="n"/>
      <c r="H25" s="61" t="n"/>
      <c r="I25" s="73" t="n"/>
    </row>
    <row r="26" ht="20.1" customHeight="1" s="92">
      <c r="A26" s="107" t="inlineStr">
        <is>
          <t>NOTLAR VE KAYNAKLAR</t>
        </is>
      </c>
      <c r="B26" s="42" t="n"/>
      <c r="C26" s="42" t="n"/>
      <c r="D26" s="42" t="n"/>
      <c r="E26" s="42" t="n"/>
      <c r="F26" s="42" t="n"/>
      <c r="G26" s="42" t="n"/>
      <c r="H26" s="42" t="n"/>
      <c r="I26" s="46" t="n"/>
    </row>
    <row r="27" ht="15" customHeight="1" s="92">
      <c r="A27" s="39" t="inlineStr">
        <is>
          <t>• TL + dolar kuru girin → 2021 USD otomatik hesaplanır.</t>
        </is>
      </c>
    </row>
    <row r="28" ht="15" customHeight="1" s="92">
      <c r="A28" s="39" t="inlineStr">
        <is>
          <t>• EF online'dan otomatik çekilir, üzerine yazılabilir.</t>
        </is>
      </c>
    </row>
    <row r="29" ht="15" customHeight="1" s="92">
      <c r="A29" s="39" t="inlineStr">
        <is>
          <t>• Kaynak: EPA SupplyChain GHG v1.2 &amp; DEFRA</t>
        </is>
      </c>
    </row>
    <row r="30"/>
    <row r="31" ht="15.95" customHeight="1" s="92">
      <c r="A31" s="5" t="n"/>
      <c r="B31" s="6" t="inlineStr">
        <is>
          <t>← YOU FILL THESE (blue)</t>
        </is>
      </c>
    </row>
    <row r="32" ht="15.95" customHeight="1" s="92">
      <c r="A32" s="7" t="n"/>
      <c r="B32" s="8" t="inlineStr">
        <is>
          <t>← AUTO-FILLED FROM ONLINE — you can override (green)</t>
        </is>
      </c>
    </row>
    <row r="33" ht="15.95" customHeight="1" s="92">
      <c r="A33" s="9" t="n"/>
      <c r="B33" s="10" t="inlineStr">
        <is>
          <t>← DO NOT EDIT — calculated by system (grey)</t>
        </is>
      </c>
    </row>
    <row r="34" ht="15.95" customHeight="1" s="92">
      <c r="A34" s="11" t="n"/>
      <c r="B34" s="12" t="inlineStr">
        <is>
          <t>← TOTALS (yellow)</t>
        </is>
      </c>
    </row>
  </sheetData>
  <mergeCells count="6">
    <mergeCell ref="A29:I29"/>
    <mergeCell ref="A2:I2"/>
    <mergeCell ref="A28:I28"/>
    <mergeCell ref="A1:I1"/>
    <mergeCell ref="A27:I27"/>
    <mergeCell ref="A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topLeftCell="A11" workbookViewId="0">
      <selection activeCell="C47" sqref="C47"/>
    </sheetView>
  </sheetViews>
  <sheetFormatPr baseColWidth="8" defaultRowHeight="15"/>
  <cols>
    <col width="8" customWidth="1" style="92" min="1" max="1"/>
    <col width="10" customWidth="1" style="92" min="2" max="2"/>
    <col width="59.7109375" customWidth="1" style="92" min="3" max="3"/>
    <col width="14" customWidth="1" style="92" min="4" max="5"/>
    <col width="20" customWidth="1" style="92" min="6" max="6"/>
    <col width="59.7109375" customWidth="1" style="92" min="7" max="7"/>
    <col width="14" customWidth="1" style="92" min="8" max="8"/>
    <col width="22" customWidth="1" style="92" min="9" max="9"/>
  </cols>
  <sheetData>
    <row r="1" ht="33.95" customHeight="1" s="92">
      <c r="A1" s="44" t="inlineStr">
        <is>
          <t>4.1 — Satın Alınan Ürün ve Malzemeler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78" t="inlineStr">
        <is>
          <t>Ürün Adı</t>
        </is>
      </c>
      <c r="D3" s="1" t="inlineStr">
        <is>
          <t>Miktar/USD</t>
        </is>
      </c>
      <c r="E3" s="45" t="inlineStr">
        <is>
          <t>Birim
🟢
(USD/TL/EUR/GBP/kg/ton)</t>
        </is>
      </c>
      <c r="F3" s="1" t="inlineStr">
        <is>
          <t>EF
(kg CO2e/birim)
🟢 Online</t>
        </is>
      </c>
      <c r="G3" s="1" t="inlineStr">
        <is>
          <t>EF Kaynak
🟢</t>
        </is>
      </c>
      <c r="H3" s="1" t="inlineStr">
        <is>
          <t>CO2e (ton)
⚪</t>
        </is>
      </c>
      <c r="I3" s="1" t="inlineStr">
        <is>
          <t>Not</t>
        </is>
      </c>
    </row>
    <row r="4" ht="20.1" customHeight="1" s="92">
      <c r="A4" s="22" t="n">
        <v>2023</v>
      </c>
      <c r="B4" s="2" t="inlineStr">
        <is>
          <t>4.1.1</t>
        </is>
      </c>
      <c r="C4" s="2" t="inlineStr">
        <is>
          <t>Elektrik iletim ve dağıtım kayıpları (KONUM TEMELLİ)</t>
        </is>
      </c>
      <c r="D4" s="2" t="n">
        <v>998.1</v>
      </c>
      <c r="E4" s="2" t="inlineStr">
        <is>
          <t>MWh</t>
        </is>
      </c>
      <c r="F4" s="4" t="n">
        <v>0.04</v>
      </c>
      <c r="G4" s="4" t="inlineStr">
        <is>
          <t>SupplyChainGHGEmissionFactors_v1.2_NAICS_CO2e_USD2021</t>
        </is>
      </c>
      <c r="H4" s="129" t="n">
        <v>0.0399</v>
      </c>
      <c r="I4" s="2" t="n"/>
    </row>
    <row r="5" ht="20.1" customHeight="1" s="92">
      <c r="A5" s="22" t="n">
        <v>2023</v>
      </c>
      <c r="B5" s="2" t="inlineStr">
        <is>
          <t>4.1.2</t>
        </is>
      </c>
      <c r="C5" s="2" t="inlineStr">
        <is>
          <t>BASKILI MALZEMELER</t>
        </is>
      </c>
      <c r="D5" s="2" t="n">
        <v>136218.8748646046</v>
      </c>
      <c r="E5" s="2" t="inlineStr">
        <is>
          <t>2021 USD</t>
        </is>
      </c>
      <c r="F5" s="4" t="n">
        <v>0.9239999999999999</v>
      </c>
      <c r="G5" s="4" t="inlineStr">
        <is>
          <t>SupplyChainGHGEmissionFactors_v1.2_NAICS_CO2e_USD2022</t>
        </is>
      </c>
      <c r="H5" s="129" t="n">
        <v>125.8662</v>
      </c>
      <c r="I5" s="2" t="n"/>
    </row>
    <row r="6" ht="20.1" customHeight="1" s="92">
      <c r="A6" s="22" t="n">
        <v>2023</v>
      </c>
      <c r="B6" s="2" t="inlineStr">
        <is>
          <t>4.1.3</t>
        </is>
      </c>
      <c r="C6" s="2" t="inlineStr">
        <is>
          <t>BİLGİ İŞLEM CİHAZLARI</t>
        </is>
      </c>
      <c r="D6" s="2" t="n">
        <v>9394.227351365989</v>
      </c>
      <c r="E6" s="2" t="inlineStr">
        <is>
          <t>2021 USD</t>
        </is>
      </c>
      <c r="F6" s="4" t="n">
        <v>0.2729971003289814</v>
      </c>
      <c r="G6" s="4" t="inlineStr">
        <is>
          <t>SupplyChainGHGEmissionFactors_v1.2_NAICS_CO2e_USD2023</t>
        </is>
      </c>
      <c r="H6" s="129" t="n">
        <v>2.5646</v>
      </c>
      <c r="I6" s="2" t="n"/>
    </row>
    <row r="7" ht="20.1" customHeight="1" s="92">
      <c r="A7" s="22" t="n">
        <v>2023</v>
      </c>
      <c r="B7" s="2" t="inlineStr">
        <is>
          <t>4.1.4</t>
        </is>
      </c>
      <c r="C7" s="2" t="inlineStr">
        <is>
          <t>BİLGİ İŞLEM NETWORK CİHAZLARI</t>
        </is>
      </c>
      <c r="D7" s="2" t="n">
        <v>389.9570495847876</v>
      </c>
      <c r="E7" s="2" t="inlineStr">
        <is>
          <t>2021 USD</t>
        </is>
      </c>
      <c r="F7" s="4" t="n">
        <v>0.276</v>
      </c>
      <c r="G7" s="4" t="inlineStr">
        <is>
          <t>SupplyChainGHGEmissionFactors_v1.2_NAICS_CO2e_USD2024</t>
        </is>
      </c>
      <c r="H7" s="129" t="n">
        <v>0.1076</v>
      </c>
      <c r="I7" s="2" t="n"/>
    </row>
    <row r="8" ht="20.1" customHeight="1" s="92">
      <c r="A8" s="22" t="n">
        <v>2023</v>
      </c>
      <c r="B8" s="2" t="inlineStr">
        <is>
          <t>4.1.5</t>
        </is>
      </c>
      <c r="C8" s="2" t="inlineStr">
        <is>
          <t>BİLGİ İŞLEM YEDEK PARÇALARI</t>
        </is>
      </c>
      <c r="D8" s="2" t="n">
        <v>19123.80024672042</v>
      </c>
      <c r="E8" s="2" t="inlineStr">
        <is>
          <t>2021 USD</t>
        </is>
      </c>
      <c r="F8" s="4" t="n">
        <v>0.2832980982888377</v>
      </c>
      <c r="G8" s="4" t="inlineStr">
        <is>
          <t>SupplyChainGHGEmissionFactors_v1.2_NAICS_CO2e_USD2025</t>
        </is>
      </c>
      <c r="H8" s="129" t="n">
        <v>5.4177</v>
      </c>
      <c r="I8" s="2" t="n"/>
    </row>
    <row r="9" ht="20.1" customHeight="1" s="92">
      <c r="A9" s="22" t="n">
        <v>2023</v>
      </c>
      <c r="B9" s="73" t="inlineStr">
        <is>
          <t>4.1.6</t>
        </is>
      </c>
      <c r="C9" s="73" t="inlineStr">
        <is>
          <t>EL VE İŞ ALETLERİ</t>
        </is>
      </c>
      <c r="D9" s="73" t="n">
        <v>264.537700084246</v>
      </c>
      <c r="E9" s="2" t="inlineStr">
        <is>
          <t>2021 USD</t>
        </is>
      </c>
      <c r="F9" s="72" t="n">
        <v>0.3121797933958321</v>
      </c>
      <c r="G9" s="4" t="inlineStr">
        <is>
          <t>SupplyChainGHGEmissionFactors_v1.2_NAICS_CO2e_USD2026</t>
        </is>
      </c>
      <c r="H9" s="129" t="n">
        <v>0.08260000000000001</v>
      </c>
      <c r="I9" s="73" t="n"/>
    </row>
    <row r="10" ht="20.1" customHeight="1" s="92">
      <c r="A10" s="22" t="n">
        <v>2023</v>
      </c>
      <c r="B10" s="73" t="inlineStr">
        <is>
          <t>4.1.7</t>
        </is>
      </c>
      <c r="C10" s="73" t="inlineStr">
        <is>
          <t>FOTOKOPİ - PRİNTER MALZEMELERİ</t>
        </is>
      </c>
      <c r="D10" s="73" t="n">
        <v>9.402455169093754</v>
      </c>
      <c r="E10" s="2" t="inlineStr">
        <is>
          <t>2021 USD</t>
        </is>
      </c>
      <c r="F10" s="72" t="n">
        <v>0.9710000000000001</v>
      </c>
      <c r="G10" s="4" t="inlineStr">
        <is>
          <t>SupplyChainGHGEmissionFactors_v1.2_NAICS_CO2e_USD2027</t>
        </is>
      </c>
      <c r="H10" s="129" t="n">
        <v>0.0091</v>
      </c>
      <c r="I10" s="73" t="n"/>
    </row>
    <row r="11" ht="20.1" customHeight="1" s="92">
      <c r="A11" s="22" t="n">
        <v>2023</v>
      </c>
      <c r="B11" s="73" t="inlineStr">
        <is>
          <t>4.1.8</t>
        </is>
      </c>
      <c r="C11" s="73" t="inlineStr">
        <is>
          <t>GIDA MALZEMELERİ</t>
        </is>
      </c>
      <c r="D11" s="73" t="n">
        <v>51650.86314538454</v>
      </c>
      <c r="E11" s="2" t="inlineStr">
        <is>
          <t>2021 USD</t>
        </is>
      </c>
      <c r="F11" s="72" t="n">
        <v>0.7495074030145035</v>
      </c>
      <c r="G11" s="4" t="inlineStr">
        <is>
          <t>SupplyChainGHGEmissionFactors_v1.2_NAICS_CO2e_USD2028</t>
        </is>
      </c>
      <c r="H11" s="129" t="n">
        <v>38.7127</v>
      </c>
      <c r="I11" s="73" t="n"/>
    </row>
    <row r="12" ht="20.1" customHeight="1" s="92">
      <c r="A12" s="22" t="n">
        <v>2023</v>
      </c>
      <c r="B12" s="73" t="inlineStr">
        <is>
          <t>4.1.9</t>
        </is>
      </c>
      <c r="C12" s="73" t="inlineStr">
        <is>
          <t>HABERLEŞME DEMİRBAŞ CİHAZLARI</t>
        </is>
      </c>
      <c r="D12" s="73" t="n">
        <v>6067.804865206403</v>
      </c>
      <c r="E12" s="2" t="inlineStr">
        <is>
          <t>2021 USD</t>
        </is>
      </c>
      <c r="F12" s="72" t="n">
        <v>0.1296946233519994</v>
      </c>
      <c r="G12" s="4" t="inlineStr">
        <is>
          <t>SupplyChainGHGEmissionFactors_v1.2_NAICS_CO2e_USD2029</t>
        </is>
      </c>
      <c r="H12" s="129" t="n">
        <v>0.787</v>
      </c>
      <c r="I12" s="73" t="n"/>
    </row>
    <row r="13" ht="20.1" customHeight="1" s="92">
      <c r="A13" s="22" t="n">
        <v>2023</v>
      </c>
      <c r="B13" s="73" t="inlineStr">
        <is>
          <t>4.1.10</t>
        </is>
      </c>
      <c r="C13" s="73" t="inlineStr">
        <is>
          <t>İSG KİŞİSEL KORUYUCU DONANIMLARI</t>
        </is>
      </c>
      <c r="D13" s="73" t="n">
        <v>29791.54719280298</v>
      </c>
      <c r="E13" s="2" t="inlineStr">
        <is>
          <t>2021 USD</t>
        </is>
      </c>
      <c r="F13" s="72" t="n">
        <v>0.3327670117622991</v>
      </c>
      <c r="G13" s="4" t="inlineStr">
        <is>
          <t>SupplyChainGHGEmissionFactors_v1.2_NAICS_CO2e_USD2030</t>
        </is>
      </c>
      <c r="H13" s="129" t="n">
        <v>9.913600000000001</v>
      </c>
      <c r="I13" s="73" t="n"/>
    </row>
    <row r="14" ht="20.1" customHeight="1" s="92">
      <c r="A14" s="22" t="n">
        <v>2023</v>
      </c>
      <c r="B14" s="73" t="inlineStr">
        <is>
          <t>4.1.11</t>
        </is>
      </c>
      <c r="C14" s="73" t="inlineStr">
        <is>
          <t>KULLANICI BİLGİSAYARI LİSANSLARI</t>
        </is>
      </c>
      <c r="D14" s="73" t="n">
        <v>9757.478637621856</v>
      </c>
      <c r="E14" s="2" t="inlineStr">
        <is>
          <t>2021 USD</t>
        </is>
      </c>
      <c r="F14" s="72" t="n">
        <v>0.097</v>
      </c>
      <c r="G14" s="4" t="inlineStr">
        <is>
          <t>SupplyChainGHGEmissionFactors_v1.2_NAICS_CO2e_USD2031</t>
        </is>
      </c>
      <c r="H14" s="129" t="n">
        <v>0.9465</v>
      </c>
      <c r="I14" s="73" t="n"/>
    </row>
    <row r="15" ht="20.1" customHeight="1" s="92">
      <c r="A15" s="22" t="n">
        <v>2023</v>
      </c>
      <c r="B15" s="73" t="inlineStr">
        <is>
          <t>4.1.12</t>
        </is>
      </c>
      <c r="C15" s="73" t="inlineStr">
        <is>
          <t>MOTORLU ARAÇ DONANIMLARI</t>
        </is>
      </c>
      <c r="D15" s="73" t="n">
        <v>17314.30752798171</v>
      </c>
      <c r="E15" s="2" t="inlineStr">
        <is>
          <t>2021 USD</t>
        </is>
      </c>
      <c r="F15" s="72" t="n">
        <v>0.5791393791201127</v>
      </c>
      <c r="G15" s="4" t="inlineStr">
        <is>
          <t>SupplyChainGHGEmissionFactors_v1.2_NAICS_CO2e_USD2032</t>
        </is>
      </c>
      <c r="H15" s="129" t="n">
        <v>10.0274</v>
      </c>
      <c r="I15" s="73" t="n"/>
    </row>
    <row r="16" ht="20.1" customHeight="1" s="92">
      <c r="A16" s="22" t="n">
        <v>2023</v>
      </c>
      <c r="B16" s="73" t="inlineStr">
        <is>
          <t>4.1.13</t>
        </is>
      </c>
      <c r="C16" s="73" t="inlineStr">
        <is>
          <t>MOTORLU ARAÇ SARF MALZEMELERİ</t>
        </is>
      </c>
      <c r="D16" s="73" t="n">
        <v>7180.591075941749</v>
      </c>
      <c r="E16" s="2" t="inlineStr">
        <is>
          <t>2021 USD</t>
        </is>
      </c>
      <c r="F16" s="72" t="n">
        <v>0.9623444377925586</v>
      </c>
      <c r="G16" s="4" t="inlineStr">
        <is>
          <t>SupplyChainGHGEmissionFactors_v1.2_NAICS_CO2e_USD2033</t>
        </is>
      </c>
      <c r="H16" s="129" t="n">
        <v>6.9102</v>
      </c>
      <c r="I16" s="73" t="n"/>
    </row>
    <row r="17" ht="20.1" customHeight="1" s="92">
      <c r="A17" s="22" t="n">
        <v>2023</v>
      </c>
      <c r="B17" s="73" t="inlineStr">
        <is>
          <t>4.1.14</t>
        </is>
      </c>
      <c r="C17" s="73" t="inlineStr">
        <is>
          <t>OFİS DEMİRBAŞ MALZEMELERİ</t>
        </is>
      </c>
      <c r="D17" s="73" t="n">
        <v>7168.121163798291</v>
      </c>
      <c r="E17" s="2" t="inlineStr">
        <is>
          <t>2021 USD</t>
        </is>
      </c>
      <c r="F17" s="72" t="n">
        <v>0.4557477859218872</v>
      </c>
      <c r="G17" s="4" t="inlineStr">
        <is>
          <t>SupplyChainGHGEmissionFactors_v1.2_NAICS_CO2e_USD2034</t>
        </is>
      </c>
      <c r="H17" s="129" t="n">
        <v>3.2669</v>
      </c>
      <c r="I17" s="73" t="n"/>
    </row>
    <row r="18" ht="20.1" customHeight="1" s="92">
      <c r="A18" s="22" t="n">
        <v>2023</v>
      </c>
      <c r="B18" s="73" t="inlineStr">
        <is>
          <t>4.1.15</t>
        </is>
      </c>
      <c r="C18" s="73" t="inlineStr">
        <is>
          <t>OFİS KIRTASİYE MALZEMELERİ</t>
        </is>
      </c>
      <c r="D18" s="73" t="n">
        <v>15046.69748164641</v>
      </c>
      <c r="E18" s="2" t="inlineStr">
        <is>
          <t>2021 USD</t>
        </is>
      </c>
      <c r="F18" s="72" t="n">
        <v>0.4755294637889529</v>
      </c>
      <c r="G18" s="4" t="inlineStr">
        <is>
          <t>SupplyChainGHGEmissionFactors_v1.2_NAICS_CO2e_USD2035</t>
        </is>
      </c>
      <c r="H18" s="129" t="n">
        <v>7.1551</v>
      </c>
      <c r="I18" s="73" t="n"/>
    </row>
    <row r="19" ht="20.1" customHeight="1" s="92">
      <c r="A19" s="22" t="n">
        <v>2023</v>
      </c>
      <c r="B19" s="73" t="inlineStr">
        <is>
          <t>4.1.16</t>
        </is>
      </c>
      <c r="C19" s="73" t="inlineStr">
        <is>
          <t>OFİS/BİNA SARF MALZEMELERİ</t>
        </is>
      </c>
      <c r="D19" s="73" t="n">
        <v>53052.23853652665</v>
      </c>
      <c r="E19" s="2" t="inlineStr">
        <is>
          <t>2021 USD</t>
        </is>
      </c>
      <c r="F19" s="72" t="n">
        <v>0.3021183002757076</v>
      </c>
      <c r="G19" s="4" t="inlineStr">
        <is>
          <t>SupplyChainGHGEmissionFactors_v1.2_NAICS_CO2e_USD2036</t>
        </is>
      </c>
      <c r="H19" s="129" t="n">
        <v>16.0281</v>
      </c>
      <c r="I19" s="73" t="n"/>
    </row>
    <row r="20" ht="20.1" customHeight="1" s="92">
      <c r="A20" s="22" t="n">
        <v>2023</v>
      </c>
      <c r="B20" s="73" t="inlineStr">
        <is>
          <t>4.1.17</t>
        </is>
      </c>
      <c r="C20" s="73" t="inlineStr">
        <is>
          <t>OPERASYON DEMİRBAŞ MALZEMELERİ</t>
        </is>
      </c>
      <c r="D20" s="73" t="n">
        <v>1230.889321819714</v>
      </c>
      <c r="E20" s="2" t="inlineStr">
        <is>
          <t>2021 USD</t>
        </is>
      </c>
      <c r="F20" s="72" t="n">
        <v>0.2212495420569685</v>
      </c>
      <c r="G20" s="4" t="inlineStr">
        <is>
          <t>SupplyChainGHGEmissionFactors_v1.2_NAICS_CO2e_USD2037</t>
        </is>
      </c>
      <c r="H20" s="129" t="n">
        <v>0.2723</v>
      </c>
      <c r="I20" s="73" t="n"/>
    </row>
    <row r="21" ht="20.1" customHeight="1" s="92">
      <c r="A21" s="22" t="n">
        <v>2023</v>
      </c>
      <c r="B21" s="73" t="inlineStr">
        <is>
          <t>4.1.18</t>
        </is>
      </c>
      <c r="C21" s="73" t="inlineStr">
        <is>
          <t>OPERASYON SARF MALZEMELERİ</t>
        </is>
      </c>
      <c r="D21" s="73" t="n">
        <v>33952.26441208328</v>
      </c>
      <c r="E21" s="2" t="inlineStr">
        <is>
          <t>2021 USD</t>
        </is>
      </c>
      <c r="F21" s="72" t="n">
        <v>0.9341168620346051</v>
      </c>
      <c r="G21" s="4" t="inlineStr">
        <is>
          <t>SupplyChainGHGEmissionFactors_v1.2_NAICS_CO2e_USD2038</t>
        </is>
      </c>
      <c r="H21" s="129" t="n">
        <v>31.7154</v>
      </c>
      <c r="I21" s="73" t="n"/>
    </row>
    <row r="22" ht="20.1" customHeight="1" s="92">
      <c r="A22" s="22" t="n">
        <v>2023</v>
      </c>
      <c r="B22" s="73" t="inlineStr">
        <is>
          <t>4.1.19</t>
        </is>
      </c>
      <c r="C22" s="73" t="inlineStr">
        <is>
          <t>PERSONEL KIYAFETLERİ</t>
        </is>
      </c>
      <c r="D22" s="73" t="n">
        <v>10148.00179022746</v>
      </c>
      <c r="E22" s="2" t="inlineStr">
        <is>
          <t>2021 USD</t>
        </is>
      </c>
      <c r="F22" s="72" t="n">
        <v>0.334103964451684</v>
      </c>
      <c r="G22" s="4" t="inlineStr">
        <is>
          <t>SupplyChainGHGEmissionFactors_v1.2_NAICS_CO2e_USD2039</t>
        </is>
      </c>
      <c r="H22" s="129" t="n">
        <v>3.3905</v>
      </c>
      <c r="I22" s="73" t="n"/>
    </row>
    <row r="23" ht="20.1" customHeight="1" s="92">
      <c r="A23" s="22" t="n">
        <v>2023</v>
      </c>
      <c r="B23" s="73" t="inlineStr">
        <is>
          <t>4.1.20</t>
        </is>
      </c>
      <c r="C23" s="73" t="inlineStr">
        <is>
          <t>PROMOSYON MALZEMELERİ</t>
        </is>
      </c>
      <c r="D23" s="73" t="n">
        <v>123912.9539505356</v>
      </c>
      <c r="E23" s="2" t="inlineStr">
        <is>
          <t>2021 USD</t>
        </is>
      </c>
      <c r="F23" s="72" t="n">
        <v>0.4634028499739771</v>
      </c>
      <c r="G23" s="4" t="inlineStr">
        <is>
          <t>SupplyChainGHGEmissionFactors_v1.2_NAICS_CO2e_USD2040</t>
        </is>
      </c>
      <c r="H23" s="129" t="n">
        <v>57.4216</v>
      </c>
      <c r="I23" s="73" t="n"/>
    </row>
    <row r="24" ht="20.1" customHeight="1" s="92">
      <c r="A24" s="22" t="n">
        <v>2023</v>
      </c>
      <c r="B24" s="73" t="inlineStr">
        <is>
          <t>4.1.21</t>
        </is>
      </c>
      <c r="C24" s="73" t="inlineStr">
        <is>
          <t>REKLAM VE SPONSORLUK MALZEMELERİ</t>
        </is>
      </c>
      <c r="D24" s="73" t="n">
        <v>25161.54621494764</v>
      </c>
      <c r="E24" s="2" t="inlineStr">
        <is>
          <t>2021 USD</t>
        </is>
      </c>
      <c r="F24" s="72" t="n">
        <v>0.3870660761550274</v>
      </c>
      <c r="G24" s="4" t="inlineStr">
        <is>
          <t>SupplyChainGHGEmissionFactors_v1.2_NAICS_CO2e_USD2041</t>
        </is>
      </c>
      <c r="H24" s="129" t="n">
        <v>9.7392</v>
      </c>
      <c r="I24" s="73" t="n"/>
    </row>
    <row r="25" ht="20.1" customHeight="1" s="92">
      <c r="A25" s="22" t="n">
        <v>2023</v>
      </c>
      <c r="B25" s="73" t="inlineStr">
        <is>
          <t>4.1.22</t>
        </is>
      </c>
      <c r="C25" s="73" t="inlineStr">
        <is>
          <t>SUNUCU DONANIMLARI</t>
        </is>
      </c>
      <c r="D25" s="73" t="n">
        <v>2027.331376368998</v>
      </c>
      <c r="E25" s="2" t="inlineStr">
        <is>
          <t>2021 USD</t>
        </is>
      </c>
      <c r="F25" s="72" t="n">
        <v>0.276</v>
      </c>
      <c r="G25" s="4" t="inlineStr">
        <is>
          <t>SupplyChainGHGEmissionFactors_v1.2_NAICS_CO2e_USD2042</t>
        </is>
      </c>
      <c r="H25" s="129" t="n">
        <v>0.5595</v>
      </c>
      <c r="I25" s="73" t="n"/>
    </row>
    <row r="26" ht="20.1" customHeight="1" s="92">
      <c r="A26" s="22" t="n">
        <v>2023</v>
      </c>
      <c r="B26" s="73" t="inlineStr">
        <is>
          <t>4.1.23</t>
        </is>
      </c>
      <c r="C26" s="73" t="inlineStr">
        <is>
          <t>SUNUCU YAZILIM LİSANSLARI VE ONLINE ABONELİKLER</t>
        </is>
      </c>
      <c r="D26" s="73" t="n">
        <v>1978910.070683897</v>
      </c>
      <c r="E26" s="2" t="inlineStr">
        <is>
          <t>2021 USD</t>
        </is>
      </c>
      <c r="F26" s="72" t="n">
        <v>0.097</v>
      </c>
      <c r="G26" s="4" t="inlineStr">
        <is>
          <t>SupplyChainGHGEmissionFactors_v1.2_NAICS_CO2e_USD2043</t>
        </is>
      </c>
      <c r="H26" s="129" t="n">
        <v>191.9543</v>
      </c>
      <c r="I26" s="73" t="n"/>
    </row>
    <row r="27" ht="20.1" customHeight="1" s="92">
      <c r="A27" s="22" t="n">
        <v>2023</v>
      </c>
      <c r="B27" s="73" t="inlineStr">
        <is>
          <t>4.1.24</t>
        </is>
      </c>
      <c r="C27" s="73" t="inlineStr">
        <is>
          <t>TARIM DEMİRBAŞ MALZEMELERİ</t>
        </is>
      </c>
      <c r="D27" s="73" t="n">
        <v>3222.899867613431</v>
      </c>
      <c r="E27" s="2" t="inlineStr">
        <is>
          <t>2021 USD</t>
        </is>
      </c>
      <c r="F27" s="72" t="n">
        <v>1.23</v>
      </c>
      <c r="G27" s="4" t="inlineStr">
        <is>
          <t>SupplyChainGHGEmissionFactors_v1.2_NAICS_CO2e_USD2044</t>
        </is>
      </c>
      <c r="H27" s="129" t="n">
        <v>3.9642</v>
      </c>
      <c r="I27" s="73" t="n"/>
    </row>
    <row r="28" ht="20.1" customHeight="1" s="92">
      <c r="A28" s="22" t="n">
        <v>2023</v>
      </c>
      <c r="B28" s="73" t="inlineStr">
        <is>
          <t>4.1.25</t>
        </is>
      </c>
      <c r="C28" s="73" t="inlineStr">
        <is>
          <t>TEMİZLİK MALZEMELERİ</t>
        </is>
      </c>
      <c r="D28" s="73" t="n">
        <v>42565.93340052953</v>
      </c>
      <c r="E28" s="2" t="inlineStr">
        <is>
          <t>2021 USD</t>
        </is>
      </c>
      <c r="F28" s="72" t="n">
        <v>0.5696798216334282</v>
      </c>
      <c r="G28" s="4" t="inlineStr">
        <is>
          <t>SupplyChainGHGEmissionFactors_v1.2_NAICS_CO2e_USD2045</t>
        </is>
      </c>
      <c r="H28" s="129" t="n">
        <v>24.249</v>
      </c>
      <c r="I28" s="73" t="n"/>
    </row>
    <row r="29" ht="20.1" customHeight="1" s="92">
      <c r="A29" s="22" t="n">
        <v>2023</v>
      </c>
      <c r="B29" s="73" t="inlineStr">
        <is>
          <t>4.1.26</t>
        </is>
      </c>
      <c r="C29" s="73" t="inlineStr">
        <is>
          <t>TESİS DEMİRBAŞ MALZEMELERİ</t>
        </is>
      </c>
      <c r="D29" s="73" t="n">
        <v>4977.192276447226</v>
      </c>
      <c r="E29" s="2" t="inlineStr">
        <is>
          <t>2021 USD</t>
        </is>
      </c>
      <c r="F29" s="72" t="n">
        <v>0.2982279896782146</v>
      </c>
      <c r="G29" s="4" t="inlineStr">
        <is>
          <t>SupplyChainGHGEmissionFactors_v1.2_NAICS_CO2e_USD2046</t>
        </is>
      </c>
      <c r="H29" s="129" t="n">
        <v>1.4843</v>
      </c>
      <c r="I29" s="73" t="n"/>
    </row>
    <row r="30" ht="20.1" customHeight="1" s="92">
      <c r="A30" s="22" t="n">
        <v>2023</v>
      </c>
      <c r="B30" s="73" t="inlineStr">
        <is>
          <t>4.1.27</t>
        </is>
      </c>
      <c r="C30" s="73" t="inlineStr">
        <is>
          <t>TESİS VE OPERASYON BAKIM ONARIM MALZEMELERİ</t>
        </is>
      </c>
      <c r="D30" s="73" t="n">
        <v>60538.33380972441</v>
      </c>
      <c r="E30" s="2" t="inlineStr">
        <is>
          <t>2021 USD</t>
        </is>
      </c>
      <c r="F30" s="72" t="n">
        <v>0.3727105677217037</v>
      </c>
      <c r="G30" s="4" t="inlineStr">
        <is>
          <t>SupplyChainGHGEmissionFactors_v1.2_NAICS_CO2e_USD2047</t>
        </is>
      </c>
      <c r="H30" s="129" t="n">
        <v>22.5633</v>
      </c>
      <c r="I30" s="73" t="n"/>
    </row>
    <row r="31" ht="20.1" customHeight="1" s="92">
      <c r="A31" s="22" t="n">
        <v>2023</v>
      </c>
      <c r="B31" s="73" t="inlineStr">
        <is>
          <t>4.1.28</t>
        </is>
      </c>
      <c r="C31" s="73" t="inlineStr">
        <is>
          <t>YEMEKHANE GIDA MALZEMELERİ</t>
        </is>
      </c>
      <c r="D31" s="73" t="n">
        <v>124.8194728607534</v>
      </c>
      <c r="E31" s="2" t="inlineStr">
        <is>
          <t>2021 USD</t>
        </is>
      </c>
      <c r="F31" s="72" t="n">
        <v>0.6219681812703387</v>
      </c>
      <c r="G31" s="4" t="inlineStr">
        <is>
          <t>SupplyChainGHGEmissionFactors_v1.2_NAICS_CO2e_USD2048</t>
        </is>
      </c>
      <c r="H31" s="129" t="n">
        <v>0.0776</v>
      </c>
      <c r="I31" s="73" t="n"/>
    </row>
    <row r="32" ht="20.1" customHeight="1" s="92">
      <c r="A32" s="75" t="n"/>
      <c r="B32" s="73" t="n"/>
      <c r="C32" s="73" t="n"/>
      <c r="D32" s="73" t="n"/>
      <c r="E32" s="73" t="n"/>
      <c r="F32" s="72" t="n"/>
      <c r="G32" s="72" t="n"/>
      <c r="H32" s="129" t="n">
        <v>0.0411</v>
      </c>
      <c r="I32" s="73" t="n"/>
    </row>
    <row r="33" ht="20.1" customHeight="1" s="92">
      <c r="A33" s="75" t="n">
        <v>2024</v>
      </c>
      <c r="B33" s="2" t="inlineStr">
        <is>
          <t>4.1.1</t>
        </is>
      </c>
      <c r="C33" s="73" t="inlineStr">
        <is>
          <t>Elektrik iletim ve dağıtım kayıpları (KONUM TEMELLİ)</t>
        </is>
      </c>
      <c r="D33" s="73" t="n">
        <v>1027.7</v>
      </c>
      <c r="E33" s="73" t="inlineStr">
        <is>
          <t>MWH</t>
        </is>
      </c>
      <c r="F33" s="72" t="n">
        <v>0.04</v>
      </c>
      <c r="G33" s="72" t="n"/>
      <c r="H33" s="129" t="n">
        <v>222.3417</v>
      </c>
      <c r="I33" s="73" t="n"/>
    </row>
    <row r="34" ht="20.1" customHeight="1" s="92">
      <c r="A34" s="75" t="n">
        <v>2024</v>
      </c>
      <c r="B34" s="2" t="inlineStr">
        <is>
          <t>4.1.2</t>
        </is>
      </c>
      <c r="C34" s="73" t="inlineStr">
        <is>
          <t>Printer-Kağıt</t>
        </is>
      </c>
      <c r="D34" s="73" t="n">
        <v>165.3</v>
      </c>
      <c r="E34" s="73" t="inlineStr">
        <is>
          <t>Ton Kağıt</t>
        </is>
      </c>
      <c r="F34" s="68" t="n">
        <v>1345.08</v>
      </c>
      <c r="G34" s="72" t="inlineStr">
        <is>
          <t>DEFRA</t>
        </is>
      </c>
      <c r="H34" s="129" t="n">
        <v>120.9715</v>
      </c>
      <c r="I34" s="73" t="n"/>
    </row>
    <row r="35" ht="20.1" customHeight="1" s="92">
      <c r="A35" s="75" t="n">
        <v>2024</v>
      </c>
      <c r="B35" s="2" t="inlineStr">
        <is>
          <t>4.1.3</t>
        </is>
      </c>
      <c r="C35" s="73" t="inlineStr">
        <is>
          <t>Printer-Toner</t>
        </is>
      </c>
      <c r="D35" s="82" t="n">
        <v>154300.38</v>
      </c>
      <c r="E35" s="73" t="inlineStr">
        <is>
          <t>2021 USD</t>
        </is>
      </c>
      <c r="F35" s="72" t="n">
        <v>0.784</v>
      </c>
      <c r="G35" s="72" t="inlineStr">
        <is>
          <t>SupplyChainGHGEmissionFactors_v1.2_NAICS_CO2e_USD2021</t>
        </is>
      </c>
      <c r="H35" s="129" t="n">
        <v>281.6848</v>
      </c>
      <c r="I35" s="73" t="n"/>
    </row>
    <row r="36" ht="20.1" customHeight="1" s="92">
      <c r="A36" s="75" t="n">
        <v>2024</v>
      </c>
      <c r="B36" s="2" t="inlineStr">
        <is>
          <t>4.1.4</t>
        </is>
      </c>
      <c r="C36" s="73" t="inlineStr">
        <is>
          <t>Baskılı Malzemeler</t>
        </is>
      </c>
      <c r="D36" s="82" t="n">
        <v>260819.3</v>
      </c>
      <c r="E36" s="73" t="inlineStr">
        <is>
          <t>2021 USD</t>
        </is>
      </c>
      <c r="F36" s="72" t="n">
        <v>1.08</v>
      </c>
      <c r="G36" s="72" t="inlineStr">
        <is>
          <t>SupplyChainGHGEmissionFactors_v1.2_NAICS_CO2e_USD2021</t>
        </is>
      </c>
      <c r="H36" s="129" t="n">
        <v>68.9156</v>
      </c>
      <c r="I36" s="73" t="n"/>
    </row>
    <row r="37" ht="20.1" customHeight="1" s="92">
      <c r="A37" s="75" t="n">
        <v>2024</v>
      </c>
      <c r="B37" s="2" t="inlineStr">
        <is>
          <t>4.1.5</t>
        </is>
      </c>
      <c r="C37" s="73" t="inlineStr">
        <is>
          <t>PROMOSYON MALZEMELERİ</t>
        </is>
      </c>
      <c r="D37" s="82" t="n">
        <v>104417.57</v>
      </c>
      <c r="E37" s="73" t="inlineStr">
        <is>
          <t>2021 USD</t>
        </is>
      </c>
      <c r="F37" s="72" t="n">
        <v>0.66</v>
      </c>
      <c r="G37" s="72" t="inlineStr">
        <is>
          <t>SupplyChainGHGEmissionFactors_v1.2_NAICS_CO2e_USD2021</t>
        </is>
      </c>
      <c r="H37" s="129" t="n">
        <v>60.2853</v>
      </c>
      <c r="I37" s="73" t="n"/>
    </row>
    <row r="38" ht="20.1" customHeight="1" s="92">
      <c r="A38" s="75" t="n">
        <v>2024</v>
      </c>
      <c r="B38" s="73" t="inlineStr">
        <is>
          <t>4.1.6</t>
        </is>
      </c>
      <c r="C38" s="73" t="inlineStr">
        <is>
          <t>GIDA MALZEMELERİ</t>
        </is>
      </c>
      <c r="D38" s="82" t="n">
        <v>81466.63</v>
      </c>
      <c r="E38" s="73" t="inlineStr">
        <is>
          <t>2021 USD</t>
        </is>
      </c>
      <c r="F38" s="72" t="n">
        <v>0.74</v>
      </c>
      <c r="G38" s="72" t="inlineStr">
        <is>
          <t>SupplyChainGHGEmissionFactors_v1.2_NAICS_CO2e_USD2021</t>
        </is>
      </c>
      <c r="H38" s="33">
        <f>D38*F38/1000</f>
        <v/>
      </c>
      <c r="I38" s="73" t="n"/>
    </row>
    <row r="39" ht="20.1" customHeight="1" s="92">
      <c r="A39" s="75" t="n"/>
      <c r="B39" s="73" t="n"/>
      <c r="C39" s="73" t="n"/>
      <c r="D39" s="73" t="n"/>
      <c r="E39" s="73" t="n"/>
      <c r="F39" s="72" t="n"/>
      <c r="G39" s="72" t="n"/>
      <c r="H39" s="33" t="n"/>
      <c r="I39" s="73" t="n"/>
    </row>
    <row r="40" ht="20.1" customHeight="1" s="92">
      <c r="A40" s="75" t="n"/>
      <c r="B40" s="73" t="n"/>
      <c r="C40" s="73" t="n"/>
      <c r="D40" s="73" t="n"/>
      <c r="E40" s="73" t="n"/>
      <c r="F40" s="72" t="n"/>
      <c r="G40" s="72" t="n"/>
      <c r="H40" s="33" t="n"/>
      <c r="I40" s="73" t="n"/>
    </row>
    <row r="41" ht="20.1" customHeight="1" s="92">
      <c r="A41" s="75" t="n"/>
      <c r="B41" s="73" t="n"/>
      <c r="C41" s="73" t="n"/>
      <c r="D41" s="73" t="n"/>
      <c r="E41" s="73" t="n"/>
      <c r="F41" s="72" t="n"/>
      <c r="G41" s="72" t="n"/>
      <c r="H41" s="33" t="n"/>
      <c r="I41" s="73" t="n"/>
    </row>
    <row r="42" ht="20.1" customHeight="1" s="92">
      <c r="A42" s="75" t="n"/>
      <c r="B42" s="73" t="n"/>
      <c r="C42" s="73" t="n"/>
      <c r="D42" s="73" t="n"/>
      <c r="E42" s="73" t="n"/>
      <c r="F42" s="72" t="n"/>
      <c r="G42" s="72" t="n"/>
      <c r="H42" s="33" t="n"/>
      <c r="I42" s="73" t="n"/>
    </row>
    <row r="43" ht="20.1" customHeight="1" s="92">
      <c r="A43" s="75" t="n"/>
      <c r="B43" s="73" t="n"/>
      <c r="C43" s="73" t="n"/>
      <c r="D43" s="73" t="n"/>
      <c r="E43" s="73" t="n"/>
      <c r="F43" s="72" t="n"/>
      <c r="G43" s="72" t="n"/>
      <c r="H43" s="33" t="n"/>
      <c r="I43" s="73" t="n"/>
    </row>
    <row r="44" ht="20.1" customHeight="1" s="92">
      <c r="A44" s="75" t="n"/>
      <c r="B44" s="73" t="n"/>
      <c r="C44" s="73" t="n"/>
      <c r="D44" s="73" t="n"/>
      <c r="E44" s="73" t="n"/>
      <c r="F44" s="72" t="n"/>
      <c r="G44" s="72" t="n"/>
      <c r="H44" s="33" t="n"/>
      <c r="I44" s="73" t="n"/>
    </row>
    <row r="45" ht="20.1" customHeight="1" s="92">
      <c r="A45" s="75" t="n"/>
      <c r="B45" s="73" t="n"/>
      <c r="C45" s="73" t="n"/>
      <c r="D45" s="73" t="n"/>
      <c r="E45" s="73" t="n"/>
      <c r="F45" s="72" t="n"/>
      <c r="G45" s="72" t="n"/>
      <c r="H45" s="33" t="n"/>
      <c r="I45" s="73" t="n"/>
    </row>
    <row r="46" ht="20.1" customHeight="1" s="92">
      <c r="A46" s="75" t="n"/>
      <c r="B46" s="73" t="n"/>
      <c r="C46" s="73" t="n"/>
      <c r="D46" s="73" t="n"/>
      <c r="E46" s="73" t="n"/>
      <c r="F46" s="72" t="n"/>
      <c r="G46" s="72" t="n"/>
      <c r="H46" s="33" t="n"/>
      <c r="I46" s="73" t="n"/>
    </row>
    <row r="47" ht="20.1" customHeight="1" s="92">
      <c r="A47" s="75" t="n"/>
      <c r="B47" s="73" t="n"/>
      <c r="C47" s="73" t="n"/>
      <c r="D47" s="73" t="n"/>
      <c r="E47" s="73" t="n"/>
      <c r="F47" s="72" t="n"/>
      <c r="G47" s="72" t="n"/>
      <c r="H47" s="33" t="n"/>
      <c r="I47" s="73" t="n"/>
    </row>
    <row r="48" ht="20.1" customHeight="1" s="92">
      <c r="A48" s="75" t="n"/>
      <c r="B48" s="73" t="n"/>
      <c r="C48" s="73" t="n"/>
      <c r="D48" s="73" t="n"/>
      <c r="E48" s="73" t="n"/>
      <c r="F48" s="72" t="n"/>
      <c r="G48" s="72" t="n"/>
      <c r="H48" s="33" t="n"/>
      <c r="I48" s="73" t="n"/>
    </row>
    <row r="49" ht="20.1" customHeight="1" s="92">
      <c r="A49" s="75" t="n"/>
      <c r="B49" s="73" t="n"/>
      <c r="C49" s="73" t="n"/>
      <c r="D49" s="73" t="n"/>
      <c r="E49" s="73" t="n"/>
      <c r="F49" s="72" t="n"/>
      <c r="G49" s="72" t="n"/>
      <c r="H49" s="33" t="n"/>
      <c r="I49" s="73" t="n"/>
    </row>
    <row r="50" ht="20.1" customHeight="1" s="92">
      <c r="A50" s="75" t="n"/>
      <c r="B50" s="73" t="n"/>
      <c r="C50" s="73" t="n"/>
      <c r="D50" s="73" t="n"/>
      <c r="E50" s="73" t="n"/>
      <c r="F50" s="72" t="n"/>
      <c r="G50" s="72" t="n"/>
      <c r="H50" s="33" t="n"/>
      <c r="I50" s="73" t="n"/>
    </row>
    <row r="51" ht="20.1" customHeight="1" s="92">
      <c r="A51" s="75" t="n"/>
      <c r="B51" s="73" t="n"/>
      <c r="C51" s="73" t="n"/>
      <c r="D51" s="73" t="n"/>
      <c r="E51" s="73" t="n"/>
      <c r="F51" s="72" t="n"/>
      <c r="G51" s="72" t="n"/>
      <c r="H51" s="33" t="n"/>
      <c r="I51" s="73" t="n"/>
    </row>
    <row r="52" ht="20.1" customHeight="1" s="92">
      <c r="A52" s="75" t="n"/>
      <c r="B52" s="73" t="n"/>
      <c r="C52" s="73" t="n"/>
      <c r="D52" s="73" t="n"/>
      <c r="E52" s="73" t="n"/>
      <c r="F52" s="72" t="n"/>
      <c r="G52" s="72" t="n"/>
      <c r="H52" s="33" t="n"/>
      <c r="I52" s="73" t="n"/>
    </row>
    <row r="53" ht="20.1" customHeight="1" s="92">
      <c r="A53" s="75" t="n"/>
      <c r="B53" s="73" t="n"/>
      <c r="C53" s="73" t="n"/>
      <c r="D53" s="73" t="n"/>
      <c r="E53" s="73" t="n"/>
      <c r="F53" s="72" t="n"/>
      <c r="G53" s="72" t="n"/>
      <c r="H53" s="33" t="n"/>
      <c r="I53" s="73" t="n"/>
    </row>
    <row r="54" ht="20.1" customHeight="1" s="92">
      <c r="A54" s="75" t="n"/>
      <c r="B54" s="73" t="n"/>
      <c r="C54" s="73" t="n"/>
      <c r="D54" s="73" t="n"/>
      <c r="E54" s="73" t="n"/>
      <c r="F54" s="72" t="n"/>
      <c r="G54" s="72" t="n"/>
      <c r="H54" s="33" t="n"/>
      <c r="I54" s="73" t="n"/>
    </row>
    <row r="55" ht="20.1" customHeight="1" s="92">
      <c r="A55" s="75" t="n"/>
      <c r="B55" s="73" t="n"/>
      <c r="C55" s="73" t="n"/>
      <c r="D55" s="73" t="n"/>
      <c r="E55" s="73" t="n"/>
      <c r="F55" s="72" t="n"/>
      <c r="G55" s="72" t="n"/>
      <c r="H55" s="33" t="n"/>
      <c r="I55" s="73" t="n"/>
    </row>
    <row r="56" ht="20.1" customHeight="1" s="92">
      <c r="A56" s="75" t="n"/>
      <c r="B56" s="73" t="n"/>
      <c r="C56" s="73" t="n"/>
      <c r="D56" s="73" t="n"/>
      <c r="E56" s="73" t="n"/>
      <c r="F56" s="72" t="n"/>
      <c r="G56" s="72" t="n"/>
      <c r="H56" s="33" t="n"/>
      <c r="I56" s="73" t="n"/>
    </row>
    <row r="57" ht="20.1" customHeight="1" s="92">
      <c r="A57" s="75" t="n"/>
      <c r="B57" s="73" t="n"/>
      <c r="C57" s="73" t="n"/>
      <c r="D57" s="73" t="n"/>
      <c r="E57" s="73" t="n"/>
      <c r="F57" s="72" t="n"/>
      <c r="G57" s="72" t="n"/>
      <c r="H57" s="33" t="n"/>
      <c r="I57" s="73" t="n"/>
    </row>
    <row r="58" ht="20.1" customHeight="1" s="92">
      <c r="A58" s="75" t="n"/>
      <c r="B58" s="73" t="n"/>
      <c r="C58" s="73" t="n"/>
      <c r="D58" s="73" t="n"/>
      <c r="E58" s="73" t="n"/>
      <c r="F58" s="72" t="n"/>
      <c r="G58" s="72" t="n"/>
      <c r="H58" s="33" t="n"/>
      <c r="I58" s="73" t="n"/>
    </row>
    <row r="59" ht="20.1" customHeight="1" s="92">
      <c r="A59" s="75" t="n"/>
      <c r="B59" s="73" t="n"/>
      <c r="C59" s="73" t="n"/>
      <c r="D59" s="73" t="n"/>
      <c r="E59" s="73" t="n"/>
      <c r="F59" s="72" t="n"/>
      <c r="G59" s="72" t="n"/>
      <c r="H59" s="33" t="n"/>
      <c r="I59" s="73" t="n"/>
    </row>
    <row r="60" ht="20.1" customHeight="1" s="92">
      <c r="A60" s="75" t="n"/>
      <c r="B60" s="73" t="n"/>
      <c r="C60" s="73" t="n"/>
      <c r="D60" s="73" t="n"/>
      <c r="E60" s="73" t="n"/>
      <c r="F60" s="72" t="n"/>
      <c r="G60" s="72" t="n"/>
      <c r="H60" s="33" t="n"/>
      <c r="I60" s="73" t="n"/>
    </row>
    <row r="61" ht="20.1" customHeight="1" s="92">
      <c r="A61" s="75" t="n"/>
      <c r="B61" s="73" t="n"/>
      <c r="C61" s="73" t="n"/>
      <c r="D61" s="73" t="n"/>
      <c r="E61" s="73" t="n"/>
      <c r="F61" s="72" t="n"/>
      <c r="G61" s="72" t="n"/>
      <c r="H61" s="33" t="n"/>
      <c r="I61" s="73" t="n"/>
    </row>
    <row r="62" ht="20.1" customHeight="1" s="92">
      <c r="A62" s="75" t="n"/>
      <c r="B62" s="73" t="n"/>
      <c r="C62" s="73" t="n"/>
      <c r="D62" s="73" t="n"/>
      <c r="E62" s="73" t="n"/>
      <c r="F62" s="72" t="n"/>
      <c r="G62" s="72" t="n"/>
      <c r="H62" s="33" t="n"/>
      <c r="I62" s="73" t="n"/>
    </row>
    <row r="63" ht="20.1" customHeight="1" s="92">
      <c r="A63" s="75" t="n"/>
      <c r="B63" s="73" t="n"/>
      <c r="C63" s="73" t="n"/>
      <c r="D63" s="73" t="n"/>
      <c r="E63" s="73" t="n"/>
      <c r="F63" s="72" t="n"/>
      <c r="G63" s="72" t="n"/>
      <c r="H63" s="33" t="n"/>
      <c r="I63" s="73" t="n"/>
    </row>
    <row r="64" ht="20.1" customHeight="1" s="92">
      <c r="A64" s="75" t="n"/>
      <c r="B64" s="73" t="n"/>
      <c r="C64" s="73" t="n"/>
      <c r="D64" s="73" t="n"/>
      <c r="E64" s="73" t="n"/>
      <c r="F64" s="72" t="n"/>
      <c r="G64" s="72" t="n"/>
      <c r="H64" s="33" t="n"/>
      <c r="I64" s="73" t="n"/>
    </row>
    <row r="65" ht="20.1" customHeight="1" s="92">
      <c r="A65" s="75" t="n"/>
      <c r="B65" s="73" t="n"/>
      <c r="C65" s="73" t="n"/>
      <c r="D65" s="73" t="n"/>
      <c r="E65" s="73" t="n"/>
      <c r="F65" s="72" t="n"/>
      <c r="G65" s="72" t="n"/>
      <c r="H65" s="33" t="n"/>
      <c r="I65" s="73" t="n"/>
    </row>
    <row r="66" ht="20.1" customHeight="1" s="92">
      <c r="A66" s="75" t="n"/>
      <c r="B66" s="73" t="n"/>
      <c r="C66" s="73" t="n"/>
      <c r="D66" s="73" t="n"/>
      <c r="E66" s="73" t="n"/>
      <c r="F66" s="72" t="n"/>
      <c r="G66" s="72" t="n"/>
      <c r="H66" s="33" t="n"/>
      <c r="I66" s="73" t="n"/>
    </row>
    <row r="67" ht="20.1" customHeight="1" s="92">
      <c r="A67" s="75" t="n"/>
      <c r="B67" s="73" t="n"/>
      <c r="C67" s="73" t="n"/>
      <c r="D67" s="73" t="n"/>
      <c r="E67" s="73" t="n"/>
      <c r="F67" s="72" t="n"/>
      <c r="G67" s="72" t="n"/>
      <c r="H67" s="33" t="n"/>
      <c r="I67" s="73" t="n"/>
    </row>
    <row r="68" ht="20.1" customHeight="1" s="92">
      <c r="A68" s="75" t="n"/>
      <c r="B68" s="73" t="n"/>
      <c r="C68" s="73" t="n"/>
      <c r="D68" s="73" t="n"/>
      <c r="E68" s="73" t="n"/>
      <c r="F68" s="72" t="n"/>
      <c r="G68" s="72" t="n"/>
      <c r="H68" s="33" t="n"/>
      <c r="I68" s="73" t="n"/>
    </row>
    <row r="69" ht="20.1" customHeight="1" s="92">
      <c r="A69" s="75" t="n"/>
      <c r="B69" s="73" t="n"/>
      <c r="C69" s="73" t="n"/>
      <c r="D69" s="73" t="n"/>
      <c r="E69" s="73" t="n"/>
      <c r="F69" s="72" t="n"/>
      <c r="G69" s="72" t="n"/>
      <c r="H69" s="33" t="n"/>
      <c r="I69" s="73" t="n"/>
    </row>
    <row r="70" ht="20.1" customHeight="1" s="92">
      <c r="A70" s="75" t="n"/>
      <c r="B70" s="73" t="n"/>
      <c r="C70" s="73" t="n"/>
      <c r="D70" s="73" t="n"/>
      <c r="E70" s="73" t="n"/>
      <c r="F70" s="72" t="n"/>
      <c r="G70" s="72" t="n"/>
      <c r="H70" s="33" t="n"/>
      <c r="I70" s="73" t="n"/>
    </row>
    <row r="71" ht="20.1" customHeight="1" s="92">
      <c r="A71" s="75" t="n"/>
      <c r="B71" s="73" t="n"/>
      <c r="C71" s="73" t="n"/>
      <c r="D71" s="73" t="n"/>
      <c r="E71" s="73" t="n"/>
      <c r="F71" s="72" t="n"/>
      <c r="G71" s="72" t="n"/>
      <c r="H71" s="33" t="n"/>
      <c r="I71" s="73" t="n"/>
    </row>
    <row r="72" ht="20.1" customHeight="1" s="92">
      <c r="A72" s="75" t="n"/>
      <c r="B72" s="73" t="n"/>
      <c r="C72" s="73" t="n"/>
      <c r="D72" s="73" t="n"/>
      <c r="E72" s="73" t="n"/>
      <c r="F72" s="72" t="n"/>
      <c r="G72" s="72" t="n"/>
      <c r="H72" s="33" t="n"/>
      <c r="I72" s="73" t="n"/>
    </row>
    <row r="73" ht="20.1" customHeight="1" s="92">
      <c r="A73" s="75" t="n"/>
      <c r="B73" s="73" t="n"/>
      <c r="C73" s="73" t="n"/>
      <c r="D73" s="73" t="n"/>
      <c r="E73" s="73" t="n"/>
      <c r="F73" s="72" t="n"/>
      <c r="G73" s="72" t="n"/>
      <c r="H73" s="33" t="n"/>
      <c r="I73" s="73" t="n"/>
    </row>
    <row r="74" ht="20.1" customHeight="1" s="92">
      <c r="A74" s="75" t="n"/>
      <c r="B74" s="73" t="n"/>
      <c r="C74" s="73" t="n"/>
      <c r="D74" s="73" t="n"/>
      <c r="E74" s="73" t="n"/>
      <c r="F74" s="72" t="n"/>
      <c r="G74" s="72" t="n"/>
      <c r="H74" s="33" t="n"/>
      <c r="I74" s="73" t="n"/>
    </row>
    <row r="75" ht="20.1" customHeight="1" s="92">
      <c r="A75" s="75" t="n"/>
      <c r="B75" s="73" t="n"/>
      <c r="C75" s="73" t="n"/>
      <c r="D75" s="73" t="n"/>
      <c r="E75" s="73" t="n"/>
      <c r="F75" s="72" t="n"/>
      <c r="G75" s="72" t="n"/>
      <c r="H75" s="33" t="n"/>
      <c r="I75" s="73" t="n"/>
    </row>
    <row r="76" ht="20.1" customHeight="1" s="92">
      <c r="A76" s="75" t="n"/>
      <c r="B76" s="73" t="n"/>
      <c r="C76" s="73" t="n"/>
      <c r="D76" s="73" t="n"/>
      <c r="E76" s="73" t="n"/>
      <c r="F76" s="72" t="n"/>
      <c r="G76" s="72" t="n"/>
      <c r="H76" s="33" t="n"/>
      <c r="I76" s="73" t="n"/>
    </row>
    <row r="77" ht="20.1" customHeight="1" s="92">
      <c r="A77" s="75" t="n"/>
      <c r="B77" s="73" t="n"/>
      <c r="C77" s="73" t="n"/>
      <c r="D77" s="73" t="n"/>
      <c r="E77" s="73" t="n"/>
      <c r="F77" s="72" t="n"/>
      <c r="G77" s="72" t="n"/>
      <c r="H77" s="33" t="n"/>
      <c r="I77" s="73" t="n"/>
    </row>
    <row r="78" ht="20.1" customHeight="1" s="92">
      <c r="A78" s="75" t="n"/>
      <c r="B78" s="73" t="n"/>
      <c r="C78" s="73" t="n"/>
      <c r="D78" s="73" t="n"/>
      <c r="E78" s="73" t="n"/>
      <c r="F78" s="72" t="n"/>
      <c r="G78" s="72" t="n"/>
      <c r="H78" s="33" t="n"/>
      <c r="I78" s="73" t="n"/>
    </row>
    <row r="79" ht="20.1" customHeight="1" s="92">
      <c r="A79" s="75" t="n"/>
      <c r="B79" s="73" t="n"/>
      <c r="C79" s="73" t="n"/>
      <c r="D79" s="73" t="n"/>
      <c r="E79" s="73" t="n"/>
      <c r="F79" s="72" t="n"/>
      <c r="G79" s="72" t="n"/>
      <c r="H79" s="33" t="n"/>
      <c r="I79" s="73" t="n"/>
    </row>
    <row r="80" ht="20.1" customHeight="1" s="92">
      <c r="A80" s="75" t="n"/>
      <c r="B80" s="73" t="n"/>
      <c r="C80" s="73" t="n"/>
      <c r="D80" s="73" t="n"/>
      <c r="E80" s="73" t="n"/>
      <c r="F80" s="72" t="n"/>
      <c r="G80" s="72" t="n"/>
      <c r="H80" s="33" t="n"/>
      <c r="I80" s="73" t="n"/>
    </row>
    <row r="81" ht="20.1" customHeight="1" s="92">
      <c r="A81" s="75" t="n"/>
      <c r="B81" s="73" t="n"/>
      <c r="C81" s="73" t="n"/>
      <c r="D81" s="73" t="n"/>
      <c r="E81" s="73" t="n"/>
      <c r="F81" s="72" t="n"/>
      <c r="G81" s="72" t="n"/>
      <c r="H81" s="33" t="n"/>
      <c r="I81" s="73" t="n"/>
    </row>
    <row r="82" ht="20.1" customHeight="1" s="92">
      <c r="A82" s="75" t="n"/>
      <c r="B82" s="73" t="n"/>
      <c r="C82" s="73" t="n"/>
      <c r="D82" s="73" t="n"/>
      <c r="E82" s="73" t="n"/>
      <c r="F82" s="72" t="n"/>
      <c r="G82" s="72" t="n"/>
      <c r="H82" s="33" t="n"/>
      <c r="I82" s="73" t="n"/>
    </row>
    <row r="83" ht="20.1" customHeight="1" s="92">
      <c r="A83" s="75" t="n"/>
      <c r="B83" s="73" t="n"/>
      <c r="C83" s="73" t="n"/>
      <c r="D83" s="73" t="n"/>
      <c r="E83" s="73" t="n"/>
      <c r="F83" s="72" t="n"/>
      <c r="G83" s="72" t="n"/>
      <c r="H83" s="33" t="n"/>
      <c r="I83" s="73" t="n"/>
    </row>
    <row r="84" ht="20.1" customHeight="1" s="92">
      <c r="A84" s="75" t="n"/>
      <c r="B84" s="73" t="n"/>
      <c r="C84" s="73" t="n"/>
      <c r="D84" s="73" t="n"/>
      <c r="E84" s="73" t="n"/>
      <c r="F84" s="72" t="n"/>
      <c r="G84" s="72" t="n"/>
      <c r="H84" s="33" t="n"/>
      <c r="I84" s="73" t="n"/>
    </row>
    <row r="85" ht="20.1" customHeight="1" s="92">
      <c r="A85" s="75" t="n"/>
      <c r="B85" s="73" t="n"/>
      <c r="C85" s="73" t="n"/>
      <c r="D85" s="73" t="n"/>
      <c r="E85" s="73" t="n"/>
      <c r="F85" s="72" t="n"/>
      <c r="G85" s="72" t="n"/>
      <c r="H85" s="33" t="n"/>
      <c r="I85" s="73" t="n"/>
    </row>
    <row r="86" ht="20.1" customHeight="1" s="92">
      <c r="A86" s="75" t="n"/>
      <c r="B86" s="73" t="n"/>
      <c r="C86" s="73" t="n"/>
      <c r="D86" s="73" t="n"/>
      <c r="E86" s="73" t="n"/>
      <c r="F86" s="72" t="n"/>
      <c r="G86" s="72" t="n"/>
      <c r="H86" s="33" t="n"/>
      <c r="I86" s="73" t="n"/>
    </row>
    <row r="87" ht="20.1" customHeight="1" s="92">
      <c r="A87" s="75" t="n"/>
      <c r="B87" s="73" t="n"/>
      <c r="C87" s="73" t="n"/>
      <c r="D87" s="73" t="n"/>
      <c r="E87" s="73" t="n"/>
      <c r="F87" s="72" t="n"/>
      <c r="G87" s="72" t="n"/>
      <c r="H87" s="33" t="n"/>
      <c r="I87" s="73" t="n"/>
    </row>
    <row r="88" ht="20.1" customHeight="1" s="92">
      <c r="A88" s="75" t="n"/>
      <c r="B88" s="73" t="n"/>
      <c r="C88" s="73" t="n"/>
      <c r="D88" s="73" t="n"/>
      <c r="E88" s="73" t="n"/>
      <c r="F88" s="72" t="n"/>
      <c r="G88" s="72" t="n"/>
      <c r="H88" s="33" t="n"/>
      <c r="I88" s="73" t="n"/>
    </row>
    <row r="89" ht="20.1" customHeight="1" s="92">
      <c r="A89" s="75" t="n"/>
      <c r="B89" s="73" t="n"/>
      <c r="C89" s="73" t="n"/>
      <c r="D89" s="73" t="n"/>
      <c r="E89" s="73" t="n"/>
      <c r="F89" s="72" t="n"/>
      <c r="G89" s="72" t="n"/>
      <c r="H89" s="33" t="n"/>
      <c r="I89" s="73" t="n"/>
    </row>
    <row r="90" ht="20.1" customHeight="1" s="92">
      <c r="A90" s="75" t="n"/>
      <c r="B90" s="73" t="n"/>
      <c r="C90" s="73" t="n"/>
      <c r="D90" s="73" t="n"/>
      <c r="E90" s="73" t="n"/>
      <c r="F90" s="72" t="n"/>
      <c r="G90" s="72" t="n"/>
      <c r="H90" s="33" t="n"/>
      <c r="I90" s="73" t="n"/>
    </row>
    <row r="91" ht="20.1" customHeight="1" s="92">
      <c r="A91" s="75" t="n"/>
      <c r="B91" s="73" t="n"/>
      <c r="C91" s="73" t="n"/>
      <c r="D91" s="73" t="n"/>
      <c r="E91" s="73" t="n"/>
      <c r="F91" s="72" t="n"/>
      <c r="G91" s="72" t="n"/>
      <c r="H91" s="33" t="n"/>
      <c r="I91" s="73" t="n"/>
    </row>
    <row r="92" ht="20.1" customHeight="1" s="92">
      <c r="A92" s="75" t="n"/>
      <c r="B92" s="73" t="n"/>
      <c r="C92" s="73" t="n"/>
      <c r="D92" s="73" t="n"/>
      <c r="E92" s="73" t="n"/>
      <c r="F92" s="72" t="n"/>
      <c r="G92" s="72" t="n"/>
      <c r="H92" s="33" t="n"/>
      <c r="I92" s="73" t="n"/>
    </row>
    <row r="93" ht="20.1" customHeight="1" s="92">
      <c r="A93" s="75" t="n"/>
      <c r="B93" s="73" t="n"/>
      <c r="C93" s="73" t="n"/>
      <c r="D93" s="73" t="n"/>
      <c r="E93" s="73" t="n"/>
      <c r="F93" s="72" t="n"/>
      <c r="G93" s="72" t="n"/>
      <c r="H93" s="33" t="n"/>
      <c r="I93" s="73" t="n"/>
    </row>
    <row r="94" ht="20.1" customHeight="1" s="92">
      <c r="A94" s="75" t="n"/>
      <c r="B94" s="73" t="n"/>
      <c r="C94" s="73" t="n"/>
      <c r="D94" s="73" t="n"/>
      <c r="E94" s="73" t="n"/>
      <c r="F94" s="72" t="n"/>
      <c r="G94" s="72" t="n"/>
      <c r="H94" s="33" t="n"/>
      <c r="I94" s="73" t="n"/>
    </row>
    <row r="95" ht="20.1" customHeight="1" s="92">
      <c r="A95" s="75" t="n"/>
      <c r="B95" s="73" t="n"/>
      <c r="C95" s="73" t="n"/>
      <c r="D95" s="73" t="n"/>
      <c r="E95" s="73" t="n"/>
      <c r="F95" s="72" t="n"/>
      <c r="G95" s="72" t="n"/>
      <c r="H95" s="33" t="n"/>
      <c r="I95" s="73" t="n"/>
    </row>
    <row r="96" ht="20.1" customHeight="1" s="92">
      <c r="A96" s="75" t="n"/>
      <c r="B96" s="73" t="n"/>
      <c r="C96" s="73" t="n"/>
      <c r="D96" s="73" t="n"/>
      <c r="E96" s="73" t="n"/>
      <c r="F96" s="72" t="n"/>
      <c r="G96" s="72" t="n"/>
      <c r="H96" s="33" t="n"/>
      <c r="I96" s="73" t="n"/>
    </row>
    <row r="97" ht="20.1" customHeight="1" s="92">
      <c r="A97" s="75" t="n"/>
      <c r="B97" s="73" t="n"/>
      <c r="C97" s="73" t="n"/>
      <c r="D97" s="73" t="n"/>
      <c r="E97" s="73" t="n"/>
      <c r="F97" s="72" t="n"/>
      <c r="G97" s="72" t="n"/>
      <c r="H97" s="33" t="n"/>
      <c r="I97" s="73" t="n"/>
    </row>
    <row r="98" ht="20.1" customHeight="1" s="92">
      <c r="A98" s="75" t="n"/>
      <c r="B98" s="73" t="n"/>
      <c r="C98" s="73" t="n"/>
      <c r="D98" s="73" t="n"/>
      <c r="E98" s="73" t="n"/>
      <c r="F98" s="72" t="n"/>
      <c r="G98" s="72" t="n"/>
      <c r="H98" s="33" t="n"/>
      <c r="I98" s="73" t="n"/>
    </row>
    <row r="99" ht="20.1" customHeight="1" s="92">
      <c r="A99" s="75" t="n"/>
      <c r="B99" s="73" t="n"/>
      <c r="C99" s="73" t="n"/>
      <c r="D99" s="73" t="n"/>
      <c r="E99" s="73" t="n"/>
      <c r="F99" s="72" t="n"/>
      <c r="G99" s="72" t="n"/>
      <c r="H99" s="33" t="n"/>
      <c r="I99" s="73" t="n"/>
    </row>
    <row r="100" ht="20.1" customHeight="1" s="92">
      <c r="A100" s="75" t="n"/>
      <c r="B100" s="73" t="n"/>
      <c r="C100" s="73" t="n"/>
      <c r="D100" s="73" t="n"/>
      <c r="E100" s="73" t="n"/>
      <c r="F100" s="72" t="n"/>
      <c r="G100" s="72" t="n"/>
      <c r="H100" s="33" t="n"/>
      <c r="I100" s="73" t="n"/>
    </row>
    <row r="101" ht="20.1" customHeight="1" s="92">
      <c r="A101" s="75" t="n"/>
      <c r="B101" s="73" t="n"/>
      <c r="C101" s="73" t="n"/>
      <c r="D101" s="73" t="n"/>
      <c r="E101" s="73" t="n"/>
      <c r="F101" s="72" t="n"/>
      <c r="G101" s="72" t="n"/>
      <c r="H101" s="33" t="n"/>
      <c r="I101" s="73" t="n"/>
    </row>
    <row r="102" ht="20.1" customHeight="1" s="92">
      <c r="A102" s="75" t="n"/>
      <c r="B102" s="73" t="n"/>
      <c r="C102" s="73" t="n"/>
      <c r="D102" s="73" t="n"/>
      <c r="E102" s="73" t="n"/>
      <c r="F102" s="72" t="n"/>
      <c r="G102" s="72" t="n"/>
      <c r="H102" s="33" t="n"/>
      <c r="I102" s="73" t="n"/>
    </row>
    <row r="103" ht="20.1" customHeight="1" s="92">
      <c r="A103" s="75" t="n"/>
      <c r="B103" s="73" t="n"/>
      <c r="C103" s="73" t="n"/>
      <c r="D103" s="73" t="n"/>
      <c r="E103" s="73" t="n"/>
      <c r="F103" s="72" t="n"/>
      <c r="G103" s="72" t="n"/>
      <c r="H103" s="33" t="n"/>
      <c r="I103" s="73" t="n"/>
    </row>
    <row r="104" ht="20.1" customHeight="1" s="92">
      <c r="A104" s="75" t="n"/>
      <c r="B104" s="73" t="n"/>
      <c r="C104" s="73" t="n"/>
      <c r="D104" s="73" t="n"/>
      <c r="E104" s="73" t="n"/>
      <c r="F104" s="72" t="n"/>
      <c r="G104" s="72" t="n"/>
      <c r="H104" s="33" t="n"/>
      <c r="I104" s="73" t="n"/>
    </row>
    <row r="105" ht="20.1" customHeight="1" s="92">
      <c r="A105" s="75" t="n"/>
      <c r="B105" s="73" t="n"/>
      <c r="C105" s="73" t="n"/>
      <c r="D105" s="73" t="n"/>
      <c r="E105" s="73" t="n"/>
      <c r="F105" s="72" t="n"/>
      <c r="G105" s="72" t="n"/>
      <c r="H105" s="33" t="n"/>
      <c r="I105" s="73" t="n"/>
    </row>
    <row r="106" ht="20.1" customHeight="1" s="92">
      <c r="A106" s="75" t="n"/>
      <c r="B106" s="73" t="n"/>
      <c r="C106" s="73" t="n"/>
      <c r="D106" s="73" t="n"/>
      <c r="E106" s="73" t="n"/>
      <c r="F106" s="72" t="n"/>
      <c r="G106" s="72" t="n"/>
      <c r="H106" s="33" t="n"/>
      <c r="I106" s="73" t="n"/>
    </row>
    <row r="107" ht="20.1" customHeight="1" s="92">
      <c r="A107" s="75" t="n"/>
      <c r="B107" s="73" t="n"/>
      <c r="C107" s="73" t="n"/>
      <c r="D107" s="73" t="n"/>
      <c r="E107" s="73" t="n"/>
      <c r="F107" s="72" t="n"/>
      <c r="G107" s="72" t="n"/>
      <c r="H107" s="33" t="n"/>
      <c r="I107" s="73" t="n"/>
    </row>
    <row r="108" ht="20.1" customHeight="1" s="92">
      <c r="A108" s="75" t="n"/>
      <c r="B108" s="73" t="n"/>
      <c r="C108" s="73" t="n"/>
      <c r="D108" s="73" t="n"/>
      <c r="E108" s="73" t="n"/>
      <c r="F108" s="72" t="n"/>
      <c r="G108" s="72" t="n"/>
      <c r="H108" s="33" t="n"/>
      <c r="I108" s="73" t="n"/>
    </row>
    <row r="109" ht="20.1" customHeight="1" s="92">
      <c r="A109" s="75" t="n"/>
      <c r="B109" s="73" t="n"/>
      <c r="C109" s="73" t="n"/>
      <c r="D109" s="73" t="n"/>
      <c r="E109" s="73" t="n"/>
      <c r="F109" s="72" t="n"/>
      <c r="G109" s="72" t="n"/>
      <c r="H109" s="33" t="n"/>
      <c r="I109" s="73" t="n"/>
    </row>
    <row r="110" ht="20.1" customHeight="1" s="92">
      <c r="A110" s="75" t="n"/>
      <c r="B110" s="73" t="n"/>
      <c r="C110" s="73" t="n"/>
      <c r="D110" s="73" t="n"/>
      <c r="E110" s="73" t="n"/>
      <c r="F110" s="72" t="n"/>
      <c r="G110" s="72" t="n"/>
      <c r="H110" s="33" t="n"/>
      <c r="I110" s="73" t="n"/>
    </row>
    <row r="111" ht="20.1" customHeight="1" s="92">
      <c r="A111" s="75" t="n"/>
      <c r="B111" s="73" t="n"/>
      <c r="C111" s="73" t="n"/>
      <c r="D111" s="73" t="n"/>
      <c r="E111" s="73" t="n"/>
      <c r="F111" s="72" t="n"/>
      <c r="G111" s="72" t="n"/>
      <c r="H111" s="33" t="n"/>
      <c r="I111" s="73" t="n"/>
    </row>
    <row r="112" ht="20.1" customHeight="1" s="92">
      <c r="A112" s="75" t="n"/>
      <c r="B112" s="73" t="n"/>
      <c r="C112" s="73" t="n"/>
      <c r="D112" s="73" t="n"/>
      <c r="E112" s="73" t="n"/>
      <c r="F112" s="72" t="n"/>
      <c r="G112" s="72" t="n"/>
      <c r="H112" s="33" t="n"/>
      <c r="I112" s="73" t="n"/>
    </row>
    <row r="113" ht="20.1" customHeight="1" s="92">
      <c r="A113" s="75" t="n"/>
      <c r="B113" s="73" t="n"/>
      <c r="C113" s="73" t="n"/>
      <c r="D113" s="73" t="n"/>
      <c r="E113" s="73" t="n"/>
      <c r="F113" s="72" t="n"/>
      <c r="G113" s="72" t="n"/>
      <c r="H113" s="33" t="n"/>
      <c r="I113" s="73" t="n"/>
    </row>
    <row r="114" ht="20.1" customHeight="1" s="92">
      <c r="A114" s="75" t="n"/>
      <c r="B114" s="73" t="n"/>
      <c r="C114" s="73" t="n"/>
      <c r="D114" s="73" t="n"/>
      <c r="E114" s="73" t="n"/>
      <c r="F114" s="72" t="n"/>
      <c r="G114" s="72" t="n"/>
      <c r="H114" s="33" t="n"/>
      <c r="I114" s="73" t="n"/>
    </row>
    <row r="115" ht="20.1" customHeight="1" s="92">
      <c r="A115" s="75" t="n"/>
      <c r="B115" s="73" t="n"/>
      <c r="C115" s="73" t="n"/>
      <c r="D115" s="73" t="n"/>
      <c r="E115" s="73" t="n"/>
      <c r="F115" s="72" t="n"/>
      <c r="G115" s="72" t="n"/>
      <c r="H115" s="33" t="n"/>
      <c r="I115" s="73" t="n"/>
    </row>
    <row r="116" ht="20.1" customHeight="1" s="92">
      <c r="A116" s="75" t="n"/>
      <c r="B116" s="73" t="n"/>
      <c r="C116" s="73" t="n"/>
      <c r="D116" s="73" t="n"/>
      <c r="E116" s="73" t="n"/>
      <c r="F116" s="72" t="n"/>
      <c r="G116" s="72" t="n"/>
      <c r="H116" s="33" t="n"/>
      <c r="I116" s="73" t="n"/>
    </row>
    <row r="117" ht="20.1" customHeight="1" s="92">
      <c r="A117" s="75" t="n"/>
      <c r="B117" s="73" t="n"/>
      <c r="C117" s="73" t="n"/>
      <c r="D117" s="73" t="n"/>
      <c r="E117" s="73" t="n"/>
      <c r="F117" s="72" t="n"/>
      <c r="G117" s="72" t="n"/>
      <c r="H117" s="33" t="n"/>
      <c r="I117" s="73" t="n"/>
    </row>
    <row r="118" ht="20.1" customHeight="1" s="92">
      <c r="A118" s="75" t="n"/>
      <c r="B118" s="73" t="n"/>
      <c r="C118" s="73" t="n"/>
      <c r="D118" s="73" t="n"/>
      <c r="E118" s="73" t="n"/>
      <c r="F118" s="72" t="n"/>
      <c r="G118" s="72" t="n"/>
      <c r="H118" s="33" t="n"/>
      <c r="I118" s="73" t="n"/>
    </row>
    <row r="119" ht="20.1" customHeight="1" s="92">
      <c r="A119" s="75" t="n"/>
      <c r="B119" s="73" t="n"/>
      <c r="C119" s="73" t="n"/>
      <c r="D119" s="73" t="n"/>
      <c r="E119" s="73" t="n"/>
      <c r="F119" s="72" t="n"/>
      <c r="G119" s="72" t="n"/>
      <c r="H119" s="33" t="n"/>
      <c r="I119" s="73" t="n"/>
    </row>
    <row r="120" ht="20.1" customHeight="1" s="92">
      <c r="A120" s="75" t="n"/>
      <c r="B120" s="73" t="n"/>
      <c r="C120" s="73" t="n"/>
      <c r="D120" s="73" t="n"/>
      <c r="E120" s="73" t="n"/>
      <c r="F120" s="72" t="n"/>
      <c r="G120" s="72" t="n"/>
      <c r="H120" s="33" t="n"/>
      <c r="I120" s="73" t="n"/>
    </row>
    <row r="121" ht="20.1" customHeight="1" s="92">
      <c r="A121" s="75" t="n"/>
      <c r="B121" s="73" t="n"/>
      <c r="C121" s="73" t="n"/>
      <c r="D121" s="73" t="n"/>
      <c r="E121" s="73" t="n"/>
      <c r="F121" s="72" t="n"/>
      <c r="G121" s="72" t="n"/>
      <c r="H121" s="33" t="n"/>
      <c r="I121" s="73" t="n"/>
    </row>
    <row r="122" ht="20.1" customHeight="1" s="92">
      <c r="A122" s="75" t="n"/>
      <c r="B122" s="73" t="n"/>
      <c r="C122" s="73" t="n"/>
      <c r="D122" s="73" t="n"/>
      <c r="E122" s="73" t="n"/>
      <c r="F122" s="72" t="n"/>
      <c r="G122" s="72" t="n"/>
      <c r="H122" s="33" t="n"/>
      <c r="I122" s="73" t="n"/>
    </row>
    <row r="123" ht="20.1" customHeight="1" s="92">
      <c r="A123" s="75" t="n"/>
      <c r="B123" s="73" t="n"/>
      <c r="C123" s="73" t="n"/>
      <c r="D123" s="73" t="n"/>
      <c r="E123" s="73" t="n"/>
      <c r="F123" s="72" t="n"/>
      <c r="G123" s="72" t="n"/>
      <c r="H123" s="33" t="n"/>
      <c r="I123" s="73" t="n"/>
    </row>
    <row r="124" ht="20.1" customHeight="1" s="92">
      <c r="A124" s="75" t="n"/>
      <c r="B124" s="73" t="n"/>
      <c r="C124" s="73" t="n"/>
      <c r="D124" s="73" t="n"/>
      <c r="E124" s="73" t="n"/>
      <c r="F124" s="72" t="n"/>
      <c r="G124" s="72" t="n"/>
      <c r="H124" s="33" t="n"/>
      <c r="I124" s="73" t="n"/>
    </row>
    <row r="125" ht="20.1" customHeight="1" s="92">
      <c r="A125" s="75" t="n"/>
      <c r="B125" s="73" t="n"/>
      <c r="C125" s="73" t="n"/>
      <c r="D125" s="73" t="n"/>
      <c r="E125" s="73" t="n"/>
      <c r="F125" s="72" t="n"/>
      <c r="G125" s="72" t="n"/>
      <c r="H125" s="33" t="n"/>
      <c r="I125" s="73" t="n"/>
    </row>
    <row r="126" ht="20.1" customHeight="1" s="92">
      <c r="A126" s="75" t="n"/>
      <c r="B126" s="73" t="n"/>
      <c r="C126" s="73" t="n"/>
      <c r="D126" s="73" t="n"/>
      <c r="E126" s="73" t="n"/>
      <c r="F126" s="72" t="n"/>
      <c r="G126" s="72" t="n"/>
      <c r="H126" s="33" t="n"/>
      <c r="I126" s="73" t="n"/>
    </row>
    <row r="127" ht="20.1" customHeight="1" s="92">
      <c r="A127" s="75" t="n"/>
      <c r="B127" s="73" t="n"/>
      <c r="C127" s="73" t="n"/>
      <c r="D127" s="73" t="n"/>
      <c r="E127" s="73" t="n"/>
      <c r="F127" s="72" t="n"/>
      <c r="G127" s="72" t="n"/>
      <c r="H127" s="33" t="n"/>
      <c r="I127" s="73" t="n"/>
    </row>
    <row r="128" ht="20.1" customHeight="1" s="92">
      <c r="A128" s="75" t="n"/>
      <c r="B128" s="73" t="n"/>
      <c r="C128" s="73" t="n"/>
      <c r="D128" s="73" t="n"/>
      <c r="E128" s="73" t="n"/>
      <c r="F128" s="72" t="n"/>
      <c r="G128" s="72" t="n"/>
      <c r="H128" s="33" t="n"/>
      <c r="I128" s="73" t="n"/>
    </row>
    <row r="129" ht="20.1" customHeight="1" s="92">
      <c r="A129" s="75" t="n"/>
      <c r="B129" s="73" t="n"/>
      <c r="C129" s="73" t="n"/>
      <c r="D129" s="73" t="n"/>
      <c r="E129" s="73" t="n"/>
      <c r="F129" s="72" t="n"/>
      <c r="G129" s="72" t="n"/>
      <c r="H129" s="33" t="n"/>
      <c r="I129" s="73" t="n"/>
    </row>
    <row r="130" ht="20.1" customHeight="1" s="92">
      <c r="A130" s="75" t="n"/>
      <c r="B130" s="73" t="n"/>
      <c r="C130" s="73" t="n"/>
      <c r="D130" s="73" t="n"/>
      <c r="E130" s="73" t="n"/>
      <c r="F130" s="72" t="n"/>
      <c r="G130" s="72" t="n"/>
      <c r="H130" s="33" t="n"/>
      <c r="I130" s="73" t="n"/>
    </row>
    <row r="131" ht="20.1" customHeight="1" s="92">
      <c r="A131" s="75" t="n"/>
      <c r="B131" s="73" t="n"/>
      <c r="C131" s="73" t="n"/>
      <c r="D131" s="73" t="n"/>
      <c r="E131" s="73" t="n"/>
      <c r="F131" s="72" t="n"/>
      <c r="G131" s="72" t="n"/>
      <c r="H131" s="33" t="n"/>
      <c r="I131" s="73" t="n"/>
    </row>
    <row r="132" ht="20.1" customHeight="1" s="92">
      <c r="A132" s="75" t="n"/>
      <c r="B132" s="73" t="n"/>
      <c r="C132" s="73" t="n"/>
      <c r="D132" s="73" t="n"/>
      <c r="E132" s="73" t="n"/>
      <c r="F132" s="72" t="n"/>
      <c r="G132" s="72" t="n"/>
      <c r="H132" s="33" t="n"/>
      <c r="I132" s="73" t="n"/>
    </row>
    <row r="133" ht="20.1" customHeight="1" s="92">
      <c r="A133" s="2" t="n"/>
      <c r="B133" s="2" t="n"/>
      <c r="C133" s="2" t="n"/>
      <c r="D133" s="2" t="n"/>
      <c r="E133" s="2" t="n"/>
      <c r="F133" s="4" t="n"/>
      <c r="G133" s="4" t="n"/>
      <c r="H133" s="3" t="n"/>
      <c r="I133" s="2" t="n"/>
    </row>
    <row r="134" ht="20.1" customHeight="1" s="92">
      <c r="A134" s="2" t="n"/>
      <c r="B134" s="2" t="n"/>
      <c r="C134" s="2" t="n"/>
      <c r="D134" s="2" t="n"/>
      <c r="E134" s="2" t="n"/>
      <c r="F134" s="4" t="n"/>
      <c r="G134" s="4" t="n"/>
      <c r="H134" s="3" t="n"/>
      <c r="I134" s="2" t="n"/>
    </row>
    <row r="135" ht="20.1" customHeight="1" s="92">
      <c r="A135" s="2" t="n"/>
      <c r="B135" s="2" t="n"/>
      <c r="C135" s="2" t="n"/>
      <c r="D135" s="2" t="n"/>
      <c r="E135" s="2" t="n"/>
      <c r="F135" s="4" t="n"/>
      <c r="G135" s="4" t="n"/>
      <c r="H135" s="3" t="n"/>
      <c r="I135" s="2" t="n"/>
    </row>
    <row r="136" ht="20.1" customHeight="1" s="92">
      <c r="A136" s="2" t="n"/>
      <c r="B136" s="2" t="n"/>
      <c r="C136" s="2" t="n"/>
      <c r="D136" s="2" t="n"/>
      <c r="E136" s="2" t="n"/>
      <c r="F136" s="4" t="n"/>
      <c r="G136" s="4" t="n"/>
      <c r="H136" s="3" t="n"/>
      <c r="I136" s="2" t="n"/>
    </row>
    <row r="137"/>
    <row r="138" ht="20.1" customHeight="1" s="92">
      <c r="A138" s="107" t="inlineStr">
        <is>
          <t>NOTLAR VE KAYNAKLAR</t>
        </is>
      </c>
      <c r="B138" s="42" t="n"/>
      <c r="C138" s="42" t="n"/>
      <c r="D138" s="42" t="n"/>
      <c r="E138" s="42" t="n"/>
      <c r="F138" s="42" t="n"/>
      <c r="G138" s="42" t="n"/>
      <c r="H138" s="42" t="n"/>
      <c r="I138" s="46" t="n"/>
    </row>
    <row r="139" ht="15" customHeight="1" s="92">
      <c r="A139" s="39" t="inlineStr">
        <is>
          <t>• EF online'dan otomatik çekilir, üzerine yazılabilir.</t>
        </is>
      </c>
    </row>
    <row r="140" ht="15" customHeight="1" s="92">
      <c r="A140" s="39" t="inlineStr">
        <is>
          <t>• Kaynak: DEFRA &amp; EPA Supply Chain GHG Emission Factors v1.2</t>
        </is>
      </c>
    </row>
    <row r="141"/>
    <row r="142" ht="15.95" customHeight="1" s="92">
      <c r="A142" s="5" t="n"/>
      <c r="B142" s="6" t="inlineStr">
        <is>
          <t>← YOU FILL THESE (blue)</t>
        </is>
      </c>
    </row>
    <row r="143" ht="15.95" customHeight="1" s="92">
      <c r="A143" s="7" t="n"/>
      <c r="B143" s="8" t="inlineStr">
        <is>
          <t>← AUTO-FILLED FROM ONLINE — you can override (green)</t>
        </is>
      </c>
    </row>
    <row r="144" ht="15.95" customHeight="1" s="92">
      <c r="A144" s="9" t="n"/>
      <c r="B144" s="10" t="inlineStr">
        <is>
          <t>← DO NOT EDIT — calculated by system (grey)</t>
        </is>
      </c>
    </row>
    <row r="145" ht="15.95" customHeight="1" s="92">
      <c r="A145" s="11" t="n"/>
      <c r="B145" s="12" t="inlineStr">
        <is>
          <t>← TOTALS (yellow)</t>
        </is>
      </c>
    </row>
  </sheetData>
  <mergeCells count="5">
    <mergeCell ref="A2:I2"/>
    <mergeCell ref="A138:I138"/>
    <mergeCell ref="A1:I1"/>
    <mergeCell ref="A140:I140"/>
    <mergeCell ref="A139:I1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topLeftCell="A2" workbookViewId="0">
      <selection activeCell="S21" sqref="S21"/>
    </sheetView>
  </sheetViews>
  <sheetFormatPr baseColWidth="8" defaultRowHeight="15"/>
  <cols>
    <col width="8" customWidth="1" style="92" min="1" max="1"/>
    <col width="10" customWidth="1" style="92" min="2" max="2"/>
    <col width="49" customWidth="1" style="92" min="3" max="3"/>
    <col width="16" customWidth="1" style="92" min="4" max="4"/>
    <col width="12" customWidth="1" style="92" min="5" max="5"/>
    <col width="16" customWidth="1" style="92" min="6" max="6"/>
    <col width="20" customWidth="1" style="92" min="7" max="7"/>
    <col width="22" customWidth="1" style="92" min="8" max="8"/>
    <col width="14" customWidth="1" style="92" min="9" max="9"/>
  </cols>
  <sheetData>
    <row r="1" ht="33.95" customHeight="1" s="92">
      <c r="A1" s="44" t="inlineStr">
        <is>
          <t>4.2 — Sermaye Niteliğindeki Varlıklar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Varlık Adı</t>
        </is>
      </c>
      <c r="D3" s="1" t="inlineStr">
        <is>
          <t>Tutar (2021 USD)</t>
        </is>
      </c>
      <c r="E3" s="45" t="inlineStr">
        <is>
          <t>Birim
🟢
(USD/TL/EUR)</t>
        </is>
      </c>
      <c r="F3" s="1" t="inlineStr">
        <is>
          <t>Amortisman (Yıl)</t>
        </is>
      </c>
      <c r="G3" s="1" t="inlineStr">
        <is>
          <t>EF
(kg CO2e/2021 USD)
🟢 Online</t>
        </is>
      </c>
      <c r="H3" s="1" t="inlineStr">
        <is>
          <t>EF Kaynak
🟢</t>
        </is>
      </c>
      <c r="I3" s="1" t="inlineStr">
        <is>
          <t>CO2e (ton)
⚪</t>
        </is>
      </c>
    </row>
    <row r="4" ht="20.1" customHeight="1" s="92">
      <c r="A4" s="22" t="n">
        <v>2023</v>
      </c>
      <c r="B4" s="2" t="inlineStr">
        <is>
          <t>4.2.1</t>
        </is>
      </c>
      <c r="C4" s="2" t="inlineStr">
        <is>
          <t>BİLGİ İŞLEM CİHAZLARI</t>
        </is>
      </c>
      <c r="D4" s="2" t="n">
        <v>271305.703446564</v>
      </c>
      <c r="E4" s="3" t="inlineStr">
        <is>
          <t>2021 USD</t>
        </is>
      </c>
      <c r="F4" s="2" t="n">
        <v>1</v>
      </c>
      <c r="G4" s="4" t="n">
        <v>0.2439601984699508</v>
      </c>
      <c r="H4" s="4" t="inlineStr">
        <is>
          <t>SupplyChainGHG v1.2</t>
        </is>
      </c>
      <c r="I4" s="129" t="n">
        <v>66.1878</v>
      </c>
    </row>
    <row r="5" ht="20.1" customHeight="1" s="92">
      <c r="A5" s="22" t="n">
        <v>2023</v>
      </c>
      <c r="B5" s="2" t="inlineStr">
        <is>
          <t>4.2.2</t>
        </is>
      </c>
      <c r="C5" s="2" t="inlineStr">
        <is>
          <t>BİLGİ İŞLEM NETWORK CİHAZLARI</t>
        </is>
      </c>
      <c r="D5" s="2" t="n">
        <v>34470.60680436876</v>
      </c>
      <c r="E5" s="3" t="inlineStr">
        <is>
          <t>2021 USD</t>
        </is>
      </c>
      <c r="F5" s="2" t="n">
        <v>1</v>
      </c>
      <c r="G5" s="4" t="n">
        <v>0.2759999999999999</v>
      </c>
      <c r="H5" s="4" t="inlineStr">
        <is>
          <t>SupplyChainGHG v1.2</t>
        </is>
      </c>
      <c r="I5" s="129" t="n">
        <v>9.5139</v>
      </c>
    </row>
    <row r="6" ht="20.1" customHeight="1" s="92">
      <c r="A6" s="22" t="n">
        <v>2023</v>
      </c>
      <c r="B6" s="2" t="inlineStr">
        <is>
          <t>4.2.3</t>
        </is>
      </c>
      <c r="C6" s="2" t="inlineStr">
        <is>
          <t>EL VE İŞ ALETLERİ</t>
        </is>
      </c>
      <c r="D6" s="2" t="n">
        <v>73.71524852569503</v>
      </c>
      <c r="E6" s="3" t="inlineStr">
        <is>
          <t>2021 USD</t>
        </is>
      </c>
      <c r="F6" s="2" t="n">
        <v>1</v>
      </c>
      <c r="G6" s="4" t="n">
        <v>0.387</v>
      </c>
      <c r="H6" s="4" t="inlineStr">
        <is>
          <t>SupplyChainGHG v1.2</t>
        </is>
      </c>
      <c r="I6" s="129" t="n">
        <v>0.0285</v>
      </c>
    </row>
    <row r="7" ht="20.1" customHeight="1" s="92">
      <c r="A7" s="22" t="n">
        <v>2023</v>
      </c>
      <c r="B7" s="2" t="inlineStr">
        <is>
          <t>4.2.4</t>
        </is>
      </c>
      <c r="C7" s="2" t="inlineStr">
        <is>
          <t>ELEKTRONİK - ARGE EKİPMANLARI</t>
        </is>
      </c>
      <c r="D7" s="2" t="n">
        <v>649.4302112167529</v>
      </c>
      <c r="E7" s="3" t="inlineStr">
        <is>
          <t>2021 USD</t>
        </is>
      </c>
      <c r="F7" s="2" t="n">
        <v>1</v>
      </c>
      <c r="G7" s="4" t="n">
        <v>0.268</v>
      </c>
      <c r="H7" s="4" t="inlineStr">
        <is>
          <t>SupplyChainGHG v1.2</t>
        </is>
      </c>
      <c r="I7" s="129" t="n">
        <v>0.174</v>
      </c>
    </row>
    <row r="8" ht="20.1" customHeight="1" s="92">
      <c r="A8" s="22" t="n">
        <v>2023</v>
      </c>
      <c r="B8" s="2" t="inlineStr">
        <is>
          <t>4.2.5</t>
        </is>
      </c>
      <c r="C8" s="73" t="inlineStr">
        <is>
          <t>GÜVENLİK DEMİRBAŞ MALZEMELERİ</t>
        </is>
      </c>
      <c r="D8" s="73" t="n">
        <v>2285.140397460585</v>
      </c>
      <c r="E8" s="3" t="inlineStr">
        <is>
          <t>2021 USD</t>
        </is>
      </c>
      <c r="F8" s="2" t="n">
        <v>1</v>
      </c>
      <c r="G8" s="72" t="n">
        <v>0.276</v>
      </c>
      <c r="H8" s="4" t="inlineStr">
        <is>
          <t>SupplyChainGHG v1.2</t>
        </is>
      </c>
      <c r="I8" s="129" t="n">
        <v>0.6307</v>
      </c>
    </row>
    <row r="9" ht="20.1" customHeight="1" s="92">
      <c r="A9" s="22" t="n">
        <v>2023</v>
      </c>
      <c r="B9" s="2" t="inlineStr">
        <is>
          <t>4.2.6</t>
        </is>
      </c>
      <c r="C9" s="73" t="inlineStr">
        <is>
          <t>HABERLEŞME DEMİRBAŞ CİHAZLARI</t>
        </is>
      </c>
      <c r="D9" s="73" t="n">
        <v>69447.77048983031</v>
      </c>
      <c r="E9" s="3" t="inlineStr">
        <is>
          <t>2021 USD</t>
        </is>
      </c>
      <c r="F9" s="2" t="n">
        <v>1</v>
      </c>
      <c r="G9" s="72" t="n">
        <v>0.3039975873161815</v>
      </c>
      <c r="H9" s="4" t="inlineStr">
        <is>
          <t>SupplyChainGHG v1.2</t>
        </is>
      </c>
      <c r="I9" s="129" t="n">
        <v>21.112</v>
      </c>
    </row>
    <row r="10" ht="20.1" customHeight="1" s="92">
      <c r="A10" s="22" t="n">
        <v>2023</v>
      </c>
      <c r="B10" s="2" t="inlineStr">
        <is>
          <t>4.2.7</t>
        </is>
      </c>
      <c r="C10" s="73" t="inlineStr">
        <is>
          <t>MOTORLU ARAÇLAR</t>
        </is>
      </c>
      <c r="D10" s="73" t="n">
        <v>383200.1820315321</v>
      </c>
      <c r="E10" s="3" t="inlineStr">
        <is>
          <t>2021 USD</t>
        </is>
      </c>
      <c r="F10" s="2" t="n">
        <v>1</v>
      </c>
      <c r="G10" s="72" t="n">
        <v>0.4681773196204118</v>
      </c>
      <c r="H10" s="4" t="inlineStr">
        <is>
          <t>SupplyChainGHG v1.2</t>
        </is>
      </c>
      <c r="I10" s="129" t="n">
        <v>179.4056</v>
      </c>
    </row>
    <row r="11" ht="20.1" customHeight="1" s="92">
      <c r="A11" s="22" t="n">
        <v>2023</v>
      </c>
      <c r="B11" s="2" t="inlineStr">
        <is>
          <t>4.2.8</t>
        </is>
      </c>
      <c r="C11" s="73" t="inlineStr">
        <is>
          <t>OFİS DEMİRBAŞ MALZEMELERİ</t>
        </is>
      </c>
      <c r="D11" s="73" t="n">
        <v>171968.4558912023</v>
      </c>
      <c r="E11" s="3" t="inlineStr">
        <is>
          <t>2021 USD</t>
        </is>
      </c>
      <c r="F11" s="2" t="n">
        <v>1</v>
      </c>
      <c r="G11" s="72" t="n">
        <v>0.4285038042094545</v>
      </c>
      <c r="H11" s="4" t="inlineStr">
        <is>
          <t>SupplyChainGHG v1.2</t>
        </is>
      </c>
      <c r="I11" s="129" t="n">
        <v>73.6891</v>
      </c>
    </row>
    <row r="12" ht="20.1" customHeight="1" s="92">
      <c r="A12" s="22" t="n">
        <v>2023</v>
      </c>
      <c r="B12" s="2" t="inlineStr">
        <is>
          <t>4.2.9</t>
        </is>
      </c>
      <c r="C12" s="73" t="inlineStr">
        <is>
          <t>OPERASYON DEMİRBAŞ MALZEMELERİ</t>
        </is>
      </c>
      <c r="D12" s="73" t="n">
        <v>1974.515585509688</v>
      </c>
      <c r="E12" s="3" t="inlineStr">
        <is>
          <t>2021 USD</t>
        </is>
      </c>
      <c r="F12" s="2" t="n">
        <v>1</v>
      </c>
      <c r="G12" s="72" t="n">
        <v>0.467</v>
      </c>
      <c r="H12" s="4" t="inlineStr">
        <is>
          <t>SupplyChainGHG v1.2</t>
        </is>
      </c>
      <c r="I12" s="129" t="n">
        <v>0.9221</v>
      </c>
    </row>
    <row r="13" ht="20.1" customHeight="1" s="92">
      <c r="A13" s="22" t="n">
        <v>2023</v>
      </c>
      <c r="B13" s="2" t="inlineStr">
        <is>
          <t>4.2.10</t>
        </is>
      </c>
      <c r="C13" s="73" t="inlineStr">
        <is>
          <t>SUNUCU DONANIMLARI</t>
        </is>
      </c>
      <c r="D13" s="73" t="n">
        <v>1123663.435153147</v>
      </c>
      <c r="E13" s="3" t="inlineStr">
        <is>
          <t>2021 USD</t>
        </is>
      </c>
      <c r="F13" s="2" t="n">
        <v>1</v>
      </c>
      <c r="G13" s="72" t="n">
        <v>0.276029678613496</v>
      </c>
      <c r="H13" s="4" t="inlineStr">
        <is>
          <t>SupplyChainGHG v1.2</t>
        </is>
      </c>
      <c r="I13" s="129" t="n">
        <v>310.1645</v>
      </c>
    </row>
    <row r="14" ht="20.1" customHeight="1" s="92">
      <c r="A14" s="22" t="n">
        <v>2023</v>
      </c>
      <c r="B14" s="2" t="inlineStr">
        <is>
          <t>4.2.11</t>
        </is>
      </c>
      <c r="C14" s="73" t="inlineStr">
        <is>
          <t>TESİS DEMİRBAŞ MALZEMELERİ</t>
        </is>
      </c>
      <c r="D14" s="73" t="n">
        <v>47039.65015344807</v>
      </c>
      <c r="E14" s="3" t="inlineStr">
        <is>
          <t>2021 USD</t>
        </is>
      </c>
      <c r="F14" s="2" t="n">
        <v>1</v>
      </c>
      <c r="G14" s="72" t="n">
        <v>0.3884366584065431</v>
      </c>
      <c r="H14" s="4" t="inlineStr">
        <is>
          <t>SupplyChainGHG v1.2</t>
        </is>
      </c>
      <c r="I14" s="129" t="n">
        <v>18.2719</v>
      </c>
    </row>
    <row r="15" ht="20.1" customHeight="1" s="92">
      <c r="A15" s="75" t="n"/>
      <c r="B15" s="73" t="n"/>
      <c r="C15" s="73" t="n"/>
      <c r="D15" s="73" t="n"/>
      <c r="E15" s="71" t="n"/>
      <c r="F15" s="73" t="n"/>
      <c r="G15" s="72" t="n"/>
      <c r="H15" s="72" t="n"/>
      <c r="I15" s="129" t="n">
        <v>35.0893</v>
      </c>
    </row>
    <row r="16" ht="20.1" customHeight="1" s="92">
      <c r="A16" s="22" t="n">
        <v>2024</v>
      </c>
      <c r="B16" s="2" t="inlineStr">
        <is>
          <t>4.2.1</t>
        </is>
      </c>
      <c r="C16" s="2" t="inlineStr">
        <is>
          <t>BİLGİ İŞLEM CİHAZLARI</t>
        </is>
      </c>
      <c r="D16" s="80" t="n">
        <v>167092.03</v>
      </c>
      <c r="E16" s="3" t="inlineStr">
        <is>
          <t>2021 USD</t>
        </is>
      </c>
      <c r="F16" s="2" t="n">
        <v>1</v>
      </c>
      <c r="G16" s="4" t="n">
        <v>0.21</v>
      </c>
      <c r="H16" s="4" t="inlineStr">
        <is>
          <t>SupplyChainGHG v1.2</t>
        </is>
      </c>
      <c r="I16" s="129" t="n">
        <v>223.0724</v>
      </c>
    </row>
    <row r="17" ht="20.1" customHeight="1" s="92">
      <c r="A17" s="22" t="n">
        <v>2024</v>
      </c>
      <c r="B17" s="2" t="inlineStr">
        <is>
          <t>4.2.2</t>
        </is>
      </c>
      <c r="C17" s="2" t="inlineStr">
        <is>
          <t>MOTORLU ARAÇLAR</t>
        </is>
      </c>
      <c r="D17" s="80" t="n">
        <v>602898.3</v>
      </c>
      <c r="E17" s="3" t="inlineStr">
        <is>
          <t>2021 USD</t>
        </is>
      </c>
      <c r="F17" s="2" t="n">
        <v>1</v>
      </c>
      <c r="G17" s="4" t="n">
        <v>0.37</v>
      </c>
      <c r="H17" s="4" t="inlineStr">
        <is>
          <t>SupplyChainGHG v1.2</t>
        </is>
      </c>
      <c r="I17" s="33">
        <f>IF(D17=0,0,IF(OR(LOWER(E17)="usd",LOWER(E17)="$",ISNUMBER(SEARCH("usd",LOWER(E17)))),D17*G17/(F17*1000),IF(OR(LOWER(E17)="eur",E17="€"),D17*1.08*G17/(F17*1000),IF(OR(LOWER(E17)="gbp",E17="£"),D17*1.27*G17/(F17*1000),0))))</f>
        <v/>
      </c>
    </row>
    <row r="18" ht="20.1" customHeight="1" s="92">
      <c r="A18" s="75" t="n"/>
      <c r="B18" s="73" t="n"/>
      <c r="C18" s="73" t="n"/>
      <c r="D18" s="73" t="n"/>
      <c r="E18" s="71" t="n"/>
      <c r="F18" s="73" t="n"/>
      <c r="G18" s="72" t="n"/>
      <c r="H18" s="72" t="n"/>
      <c r="I18" s="33" t="n"/>
    </row>
    <row r="19" ht="20.1" customHeight="1" s="92">
      <c r="A19" s="75" t="n"/>
      <c r="B19" s="73" t="n"/>
      <c r="C19" s="73" t="n"/>
      <c r="D19" s="73" t="n"/>
      <c r="E19" s="71" t="n"/>
      <c r="F19" s="73" t="n"/>
      <c r="G19" s="72" t="n"/>
      <c r="H19" s="72" t="n"/>
      <c r="I19" s="33" t="n"/>
    </row>
    <row r="20" ht="20.1" customHeight="1" s="92">
      <c r="A20" s="75" t="n"/>
      <c r="B20" s="73" t="n"/>
      <c r="C20" s="73" t="n"/>
      <c r="D20" s="73" t="n"/>
      <c r="E20" s="71" t="n"/>
      <c r="F20" s="73" t="n"/>
      <c r="G20" s="72" t="n"/>
      <c r="H20" s="72" t="n"/>
      <c r="I20" s="33" t="n"/>
    </row>
    <row r="21" ht="20.1" customHeight="1" s="92">
      <c r="A21" s="75" t="n"/>
      <c r="B21" s="73" t="n"/>
      <c r="C21" s="73" t="n"/>
      <c r="D21" s="73" t="n"/>
      <c r="E21" s="71" t="n"/>
      <c r="F21" s="73" t="n"/>
      <c r="G21" s="72" t="n"/>
      <c r="H21" s="72" t="n"/>
      <c r="I21" s="33" t="n"/>
    </row>
    <row r="22" ht="20.1" customHeight="1" s="92">
      <c r="A22" s="75" t="n"/>
      <c r="B22" s="73" t="n"/>
      <c r="C22" s="73" t="n"/>
      <c r="D22" s="73" t="n"/>
      <c r="E22" s="71" t="n"/>
      <c r="F22" s="73" t="n"/>
      <c r="G22" s="72" t="n"/>
      <c r="H22" s="72" t="n"/>
      <c r="I22" s="33" t="n"/>
    </row>
    <row r="23" ht="20.1" customHeight="1" s="92">
      <c r="A23" s="75" t="n"/>
      <c r="B23" s="73" t="n"/>
      <c r="C23" s="73" t="n"/>
      <c r="D23" s="73" t="n"/>
      <c r="E23" s="71" t="n"/>
      <c r="F23" s="73" t="n"/>
      <c r="G23" s="72" t="n"/>
      <c r="H23" s="72" t="n"/>
      <c r="I23" s="33" t="n"/>
    </row>
    <row r="24" ht="20.1" customHeight="1" s="92">
      <c r="A24" s="75" t="n"/>
      <c r="B24" s="73" t="n"/>
      <c r="C24" s="73" t="n"/>
      <c r="D24" s="73" t="n"/>
      <c r="E24" s="71" t="n"/>
      <c r="F24" s="73" t="n"/>
      <c r="G24" s="72" t="n"/>
      <c r="H24" s="72" t="n"/>
      <c r="I24" s="33" t="n"/>
    </row>
    <row r="25" ht="20.1" customHeight="1" s="92">
      <c r="A25" s="75" t="n"/>
      <c r="B25" s="73" t="n"/>
      <c r="C25" s="73" t="n"/>
      <c r="D25" s="73" t="n"/>
      <c r="E25" s="71" t="n"/>
      <c r="F25" s="73" t="n"/>
      <c r="G25" s="72" t="n"/>
      <c r="H25" s="72" t="n"/>
      <c r="I25" s="33" t="n"/>
    </row>
    <row r="26" ht="20.1" customHeight="1" s="92">
      <c r="A26" s="75" t="n"/>
      <c r="B26" s="73" t="n"/>
      <c r="C26" s="73" t="n"/>
      <c r="D26" s="73" t="n"/>
      <c r="E26" s="71" t="n"/>
      <c r="F26" s="73" t="n"/>
      <c r="G26" s="72" t="n"/>
      <c r="H26" s="72" t="n"/>
      <c r="I26" s="33" t="n"/>
    </row>
    <row r="27" ht="20.1" customHeight="1" s="92">
      <c r="A27" s="75" t="n"/>
      <c r="B27" s="73" t="n"/>
      <c r="C27" s="73" t="n"/>
      <c r="D27" s="73" t="n"/>
      <c r="E27" s="71" t="n"/>
      <c r="F27" s="73" t="n"/>
      <c r="G27" s="72" t="n"/>
      <c r="H27" s="72" t="n"/>
      <c r="I27" s="33" t="n"/>
    </row>
    <row r="28" ht="20.1" customHeight="1" s="92">
      <c r="A28" s="75" t="n"/>
      <c r="B28" s="73" t="n"/>
      <c r="C28" s="73" t="n"/>
      <c r="D28" s="73" t="n"/>
      <c r="E28" s="71" t="n"/>
      <c r="F28" s="73" t="n"/>
      <c r="G28" s="72" t="n"/>
      <c r="H28" s="72" t="n"/>
      <c r="I28" s="33" t="n"/>
    </row>
    <row r="29" ht="20.1" customHeight="1" s="92">
      <c r="A29" s="75" t="n"/>
      <c r="B29" s="73" t="n"/>
      <c r="C29" s="73" t="n"/>
      <c r="D29" s="73" t="n"/>
      <c r="E29" s="71" t="n"/>
      <c r="F29" s="73" t="n"/>
      <c r="G29" s="72" t="n"/>
      <c r="H29" s="72" t="n"/>
      <c r="I29" s="33" t="n"/>
    </row>
    <row r="30" ht="20.1" customHeight="1" s="92">
      <c r="A30" s="75" t="n"/>
      <c r="B30" s="73" t="n"/>
      <c r="C30" s="73" t="n"/>
      <c r="D30" s="73" t="n"/>
      <c r="E30" s="71" t="n"/>
      <c r="F30" s="73" t="n"/>
      <c r="G30" s="72" t="n"/>
      <c r="H30" s="72" t="n"/>
      <c r="I30" s="33" t="n"/>
    </row>
    <row r="31" ht="20.1" customHeight="1" s="92">
      <c r="A31" s="75" t="n"/>
      <c r="B31" s="73" t="n"/>
      <c r="C31" s="73" t="n"/>
      <c r="D31" s="73" t="n"/>
      <c r="E31" s="71" t="n"/>
      <c r="F31" s="73" t="n"/>
      <c r="G31" s="72" t="n"/>
      <c r="H31" s="72" t="n"/>
      <c r="I31" s="33" t="n"/>
    </row>
    <row r="32" ht="20.1" customHeight="1" s="92">
      <c r="A32" s="75" t="n"/>
      <c r="B32" s="73" t="n"/>
      <c r="C32" s="73" t="n"/>
      <c r="D32" s="73" t="n"/>
      <c r="E32" s="71" t="n"/>
      <c r="F32" s="73" t="n"/>
      <c r="G32" s="72" t="n"/>
      <c r="H32" s="72" t="n"/>
      <c r="I32" s="33" t="n"/>
    </row>
    <row r="33" ht="20.1" customHeight="1" s="92">
      <c r="A33" s="75" t="n"/>
      <c r="B33" s="73" t="n"/>
      <c r="C33" s="73" t="n"/>
      <c r="D33" s="73" t="n"/>
      <c r="E33" s="71" t="n"/>
      <c r="F33" s="73" t="n"/>
      <c r="G33" s="72" t="n"/>
      <c r="H33" s="72" t="n"/>
      <c r="I33" s="33" t="n"/>
    </row>
    <row r="34" ht="20.1" customHeight="1" s="92">
      <c r="A34" s="75" t="n"/>
      <c r="B34" s="73" t="n"/>
      <c r="C34" s="73" t="n"/>
      <c r="D34" s="73" t="n"/>
      <c r="E34" s="71" t="n"/>
      <c r="F34" s="73" t="n"/>
      <c r="G34" s="72" t="n"/>
      <c r="H34" s="72" t="n"/>
      <c r="I34" s="33" t="n"/>
    </row>
    <row r="35" ht="20.1" customHeight="1" s="92">
      <c r="A35" s="75" t="n"/>
      <c r="B35" s="73" t="n"/>
      <c r="C35" s="73" t="n"/>
      <c r="D35" s="73" t="n"/>
      <c r="E35" s="71" t="n"/>
      <c r="F35" s="73" t="n"/>
      <c r="G35" s="72" t="n"/>
      <c r="H35" s="72" t="n"/>
      <c r="I35" s="33" t="n"/>
    </row>
    <row r="36" ht="20.1" customHeight="1" s="92">
      <c r="A36" s="75" t="n"/>
      <c r="B36" s="73" t="n"/>
      <c r="C36" s="73" t="n"/>
      <c r="D36" s="73" t="n"/>
      <c r="E36" s="71" t="n"/>
      <c r="F36" s="73" t="n"/>
      <c r="G36" s="72" t="n"/>
      <c r="H36" s="72" t="n"/>
      <c r="I36" s="33" t="n"/>
    </row>
    <row r="37" ht="20.1" customHeight="1" s="92">
      <c r="A37" s="75" t="n"/>
      <c r="B37" s="73" t="n"/>
      <c r="C37" s="73" t="n"/>
      <c r="D37" s="73" t="n"/>
      <c r="E37" s="71" t="n"/>
      <c r="F37" s="73" t="n"/>
      <c r="G37" s="72" t="n"/>
      <c r="H37" s="72" t="n"/>
      <c r="I37" s="33" t="n"/>
    </row>
    <row r="38" ht="20.1" customHeight="1" s="92">
      <c r="A38" s="75" t="n"/>
      <c r="B38" s="73" t="n"/>
      <c r="C38" s="73" t="n"/>
      <c r="D38" s="73" t="n"/>
      <c r="E38" s="71" t="n"/>
      <c r="F38" s="73" t="n"/>
      <c r="G38" s="72" t="n"/>
      <c r="H38" s="72" t="n"/>
      <c r="I38" s="33" t="n"/>
    </row>
    <row r="39" ht="20.1" customHeight="1" s="92">
      <c r="A39" s="75" t="n"/>
      <c r="B39" s="73" t="n"/>
      <c r="C39" s="73" t="n"/>
      <c r="D39" s="73" t="n"/>
      <c r="E39" s="71" t="n"/>
      <c r="F39" s="73" t="n"/>
      <c r="G39" s="72" t="n"/>
      <c r="H39" s="72" t="n"/>
      <c r="I39" s="33" t="n"/>
    </row>
    <row r="40" ht="20.1" customHeight="1" s="92">
      <c r="A40" s="75" t="n"/>
      <c r="B40" s="73" t="n"/>
      <c r="C40" s="73" t="n"/>
      <c r="D40" s="73" t="n"/>
      <c r="E40" s="71" t="n"/>
      <c r="F40" s="73" t="n"/>
      <c r="G40" s="72" t="n"/>
      <c r="H40" s="72" t="n"/>
      <c r="I40" s="33" t="n"/>
    </row>
    <row r="41" ht="20.1" customHeight="1" s="92">
      <c r="A41" s="75" t="n"/>
      <c r="B41" s="73" t="n"/>
      <c r="C41" s="73" t="n"/>
      <c r="D41" s="73" t="n"/>
      <c r="E41" s="71" t="n"/>
      <c r="F41" s="73" t="n"/>
      <c r="G41" s="72" t="n"/>
      <c r="H41" s="72" t="n"/>
      <c r="I41" s="33" t="n"/>
    </row>
    <row r="42" ht="20.1" customHeight="1" s="92">
      <c r="A42" s="75" t="n"/>
      <c r="B42" s="73" t="n"/>
      <c r="C42" s="73" t="n"/>
      <c r="D42" s="73" t="n"/>
      <c r="E42" s="71" t="n"/>
      <c r="F42" s="73" t="n"/>
      <c r="G42" s="72" t="n"/>
      <c r="H42" s="72" t="n"/>
      <c r="I42" s="33" t="n"/>
    </row>
    <row r="43" ht="20.1" customHeight="1" s="92">
      <c r="A43" s="75" t="n"/>
      <c r="B43" s="73" t="n"/>
      <c r="C43" s="73" t="n"/>
      <c r="D43" s="73" t="n"/>
      <c r="E43" s="71" t="n"/>
      <c r="F43" s="73" t="n"/>
      <c r="G43" s="72" t="n"/>
      <c r="H43" s="72" t="n"/>
      <c r="I43" s="33" t="n"/>
    </row>
    <row r="44" ht="20.1" customHeight="1" s="92">
      <c r="A44" s="75" t="n"/>
      <c r="B44" s="73" t="n"/>
      <c r="C44" s="73" t="n"/>
      <c r="D44" s="73" t="n"/>
      <c r="E44" s="71" t="n"/>
      <c r="F44" s="73" t="n"/>
      <c r="G44" s="72" t="n"/>
      <c r="H44" s="72" t="n"/>
      <c r="I44" s="33" t="n"/>
    </row>
    <row r="45" ht="20.1" customHeight="1" s="92">
      <c r="A45" s="75" t="n"/>
      <c r="B45" s="73" t="n"/>
      <c r="C45" s="73" t="n"/>
      <c r="D45" s="73" t="n"/>
      <c r="E45" s="71" t="n"/>
      <c r="F45" s="73" t="n"/>
      <c r="G45" s="72" t="n"/>
      <c r="H45" s="72" t="n"/>
      <c r="I45" s="33" t="n"/>
    </row>
    <row r="46" ht="20.1" customHeight="1" s="92">
      <c r="A46" s="75" t="n"/>
      <c r="B46" s="73" t="n"/>
      <c r="C46" s="73" t="n"/>
      <c r="D46" s="73" t="n"/>
      <c r="E46" s="71" t="n"/>
      <c r="F46" s="73" t="n"/>
      <c r="G46" s="72" t="n"/>
      <c r="H46" s="72" t="n"/>
      <c r="I46" s="33" t="n"/>
    </row>
    <row r="47" ht="20.1" customHeight="1" s="92">
      <c r="A47" s="75" t="n"/>
      <c r="B47" s="73" t="n"/>
      <c r="C47" s="73" t="n"/>
      <c r="D47" s="73" t="n"/>
      <c r="E47" s="71" t="n"/>
      <c r="F47" s="73" t="n"/>
      <c r="G47" s="72" t="n"/>
      <c r="H47" s="72" t="n"/>
      <c r="I47" s="33" t="n"/>
    </row>
    <row r="48" ht="20.1" customHeight="1" s="92">
      <c r="A48" s="75" t="n"/>
      <c r="B48" s="73" t="n"/>
      <c r="C48" s="73" t="n"/>
      <c r="D48" s="73" t="n"/>
      <c r="E48" s="71" t="n"/>
      <c r="F48" s="73" t="n"/>
      <c r="G48" s="72" t="n"/>
      <c r="H48" s="72" t="n"/>
      <c r="I48" s="33" t="n"/>
    </row>
    <row r="49" ht="20.1" customHeight="1" s="92">
      <c r="A49" s="75" t="n"/>
      <c r="B49" s="73" t="n"/>
      <c r="C49" s="73" t="n"/>
      <c r="D49" s="73" t="n"/>
      <c r="E49" s="71" t="n"/>
      <c r="F49" s="73" t="n"/>
      <c r="G49" s="72" t="n"/>
      <c r="H49" s="72" t="n"/>
      <c r="I49" s="33" t="n"/>
    </row>
    <row r="50" ht="20.1" customHeight="1" s="92">
      <c r="A50" s="75" t="n"/>
      <c r="B50" s="73" t="n"/>
      <c r="C50" s="73" t="n"/>
      <c r="D50" s="73" t="n"/>
      <c r="E50" s="71" t="n"/>
      <c r="F50" s="73" t="n"/>
      <c r="G50" s="72" t="n"/>
      <c r="H50" s="72" t="n"/>
      <c r="I50" s="33" t="n"/>
    </row>
    <row r="51" ht="20.1" customHeight="1" s="92">
      <c r="A51" s="75" t="n"/>
      <c r="B51" s="73" t="n"/>
      <c r="C51" s="73" t="n"/>
      <c r="D51" s="73" t="n"/>
      <c r="E51" s="71" t="n"/>
      <c r="F51" s="73" t="n"/>
      <c r="G51" s="72" t="n"/>
      <c r="H51" s="72" t="n"/>
      <c r="I51" s="33" t="n"/>
    </row>
    <row r="52" ht="20.1" customHeight="1" s="92">
      <c r="A52" s="75" t="n"/>
      <c r="B52" s="73" t="n"/>
      <c r="C52" s="73" t="n"/>
      <c r="D52" s="73" t="n"/>
      <c r="E52" s="71" t="n"/>
      <c r="F52" s="73" t="n"/>
      <c r="G52" s="72" t="n"/>
      <c r="H52" s="72" t="n"/>
      <c r="I52" s="33" t="n"/>
    </row>
    <row r="53" ht="20.1" customHeight="1" s="92">
      <c r="A53" s="75" t="n"/>
      <c r="B53" s="73" t="n"/>
      <c r="C53" s="73" t="n"/>
      <c r="D53" s="73" t="n"/>
      <c r="E53" s="71" t="n"/>
      <c r="F53" s="73" t="n"/>
      <c r="G53" s="72" t="n"/>
      <c r="H53" s="72" t="n"/>
      <c r="I53" s="33" t="n"/>
    </row>
    <row r="54" ht="20.1" customHeight="1" s="92">
      <c r="A54" s="75" t="n"/>
      <c r="B54" s="73" t="n"/>
      <c r="C54" s="73" t="n"/>
      <c r="D54" s="73" t="n"/>
      <c r="E54" s="71" t="n"/>
      <c r="F54" s="73" t="n"/>
      <c r="G54" s="72" t="n"/>
      <c r="H54" s="72" t="n"/>
      <c r="I54" s="33" t="n"/>
    </row>
    <row r="55" ht="20.1" customHeight="1" s="92">
      <c r="A55" s="75" t="n"/>
      <c r="B55" s="73" t="n"/>
      <c r="C55" s="73" t="n"/>
      <c r="D55" s="73" t="n"/>
      <c r="E55" s="71" t="n"/>
      <c r="F55" s="73" t="n"/>
      <c r="G55" s="72" t="n"/>
      <c r="H55" s="72" t="n"/>
      <c r="I55" s="33" t="n"/>
    </row>
    <row r="56" ht="20.1" customHeight="1" s="92">
      <c r="A56" s="75" t="n"/>
      <c r="B56" s="73" t="n"/>
      <c r="C56" s="73" t="n"/>
      <c r="D56" s="73" t="n"/>
      <c r="E56" s="71" t="n"/>
      <c r="F56" s="73" t="n"/>
      <c r="G56" s="72" t="n"/>
      <c r="H56" s="72" t="n"/>
      <c r="I56" s="33" t="n"/>
    </row>
    <row r="57" ht="20.1" customHeight="1" s="92">
      <c r="A57" s="75" t="n"/>
      <c r="B57" s="73" t="n"/>
      <c r="C57" s="73" t="n"/>
      <c r="D57" s="73" t="n"/>
      <c r="E57" s="71" t="n"/>
      <c r="F57" s="73" t="n"/>
      <c r="G57" s="72" t="n"/>
      <c r="H57" s="72" t="n"/>
      <c r="I57" s="33" t="n"/>
    </row>
    <row r="58" ht="20.1" customHeight="1" s="92">
      <c r="A58" s="75" t="n"/>
      <c r="B58" s="73" t="n"/>
      <c r="C58" s="73" t="n"/>
      <c r="D58" s="73" t="n"/>
      <c r="E58" s="71" t="n"/>
      <c r="F58" s="73" t="n"/>
      <c r="G58" s="72" t="n"/>
      <c r="H58" s="72" t="n"/>
      <c r="I58" s="33" t="n"/>
    </row>
    <row r="59" ht="20.1" customHeight="1" s="92">
      <c r="A59" s="75" t="n"/>
      <c r="B59" s="73" t="n"/>
      <c r="C59" s="73" t="n"/>
      <c r="D59" s="73" t="n"/>
      <c r="E59" s="71" t="n"/>
      <c r="F59" s="73" t="n"/>
      <c r="G59" s="72" t="n"/>
      <c r="H59" s="72" t="n"/>
      <c r="I59" s="33" t="n"/>
    </row>
    <row r="60" ht="20.1" customHeight="1" s="92">
      <c r="A60" s="75" t="n"/>
      <c r="B60" s="73" t="n"/>
      <c r="C60" s="73" t="n"/>
      <c r="D60" s="73" t="n"/>
      <c r="E60" s="71" t="n"/>
      <c r="F60" s="73" t="n"/>
      <c r="G60" s="72" t="n"/>
      <c r="H60" s="72" t="n"/>
      <c r="I60" s="33" t="n"/>
    </row>
    <row r="61" ht="20.1" customHeight="1" s="92">
      <c r="A61" s="75" t="n"/>
      <c r="B61" s="73" t="n"/>
      <c r="C61" s="73" t="n"/>
      <c r="D61" s="73" t="n"/>
      <c r="E61" s="71" t="n"/>
      <c r="F61" s="73" t="n"/>
      <c r="G61" s="72" t="n"/>
      <c r="H61" s="72" t="n"/>
      <c r="I61" s="33" t="n"/>
    </row>
    <row r="62" ht="20.1" customHeight="1" s="92">
      <c r="A62" s="75" t="n"/>
      <c r="B62" s="73" t="n"/>
      <c r="C62" s="73" t="n"/>
      <c r="D62" s="73" t="n"/>
      <c r="E62" s="71" t="n"/>
      <c r="F62" s="73" t="n"/>
      <c r="G62" s="72" t="n"/>
      <c r="H62" s="72" t="n"/>
      <c r="I62" s="33" t="n"/>
    </row>
    <row r="63" ht="20.1" customHeight="1" s="92">
      <c r="A63" s="75" t="n"/>
      <c r="B63" s="73" t="n"/>
      <c r="C63" s="73" t="n"/>
      <c r="D63" s="73" t="n"/>
      <c r="E63" s="71" t="n"/>
      <c r="F63" s="73" t="n"/>
      <c r="G63" s="72" t="n"/>
      <c r="H63" s="72" t="n"/>
      <c r="I63" s="33" t="n"/>
    </row>
    <row r="64" ht="20.1" customHeight="1" s="92">
      <c r="A64" s="75" t="n"/>
      <c r="B64" s="73" t="n"/>
      <c r="C64" s="73" t="n"/>
      <c r="D64" s="73" t="n"/>
      <c r="E64" s="71" t="n"/>
      <c r="F64" s="73" t="n"/>
      <c r="G64" s="72" t="n"/>
      <c r="H64" s="72" t="n"/>
      <c r="I64" s="33" t="n"/>
    </row>
    <row r="65" ht="20.1" customHeight="1" s="92">
      <c r="A65" s="75" t="n"/>
      <c r="B65" s="73" t="n"/>
      <c r="C65" s="73" t="n"/>
      <c r="D65" s="73" t="n"/>
      <c r="E65" s="71" t="n"/>
      <c r="F65" s="73" t="n"/>
      <c r="G65" s="72" t="n"/>
      <c r="H65" s="72" t="n"/>
      <c r="I65" s="33" t="n"/>
    </row>
    <row r="66" ht="20.1" customHeight="1" s="92">
      <c r="A66" s="2" t="n"/>
      <c r="B66" s="2" t="n"/>
      <c r="C66" s="2" t="n"/>
      <c r="D66" s="2" t="n"/>
      <c r="E66" s="3" t="n"/>
      <c r="F66" s="2" t="n"/>
      <c r="G66" s="4" t="n"/>
      <c r="H66" s="4" t="n"/>
      <c r="I66" s="3" t="n"/>
    </row>
    <row r="67" ht="20.1" customHeight="1" s="92">
      <c r="A67" s="2" t="n"/>
      <c r="B67" s="2" t="n"/>
      <c r="C67" s="2" t="n"/>
      <c r="D67" s="2" t="n"/>
      <c r="E67" s="3" t="n"/>
      <c r="F67" s="2" t="n"/>
      <c r="G67" s="4" t="n"/>
      <c r="H67" s="4" t="n"/>
      <c r="I67" s="3" t="n"/>
    </row>
    <row r="68" ht="20.1" customHeight="1" s="92">
      <c r="A68" s="2" t="n"/>
      <c r="B68" s="2" t="n"/>
      <c r="C68" s="2" t="n"/>
      <c r="D68" s="2" t="n"/>
      <c r="E68" s="3" t="n"/>
      <c r="F68" s="2" t="n"/>
      <c r="G68" s="4" t="n"/>
      <c r="H68" s="4" t="n"/>
      <c r="I68" s="3" t="n"/>
    </row>
    <row r="69" ht="20.1" customHeight="1" s="92">
      <c r="A69" s="2" t="n"/>
      <c r="B69" s="2" t="n"/>
      <c r="C69" s="2" t="n"/>
      <c r="D69" s="2" t="n"/>
      <c r="E69" s="3" t="n"/>
      <c r="F69" s="2" t="n"/>
      <c r="G69" s="4" t="n"/>
      <c r="H69" s="4" t="n"/>
      <c r="I69" s="3" t="n"/>
    </row>
    <row r="70"/>
    <row r="71" ht="20.1" customHeight="1" s="92">
      <c r="A71" s="107" t="inlineStr">
        <is>
          <t>NOTLAR VE KAYNAKLAR</t>
        </is>
      </c>
      <c r="B71" s="42" t="n"/>
      <c r="C71" s="42" t="n"/>
      <c r="D71" s="42" t="n"/>
      <c r="E71" s="42" t="n"/>
      <c r="F71" s="42" t="n"/>
      <c r="G71" s="42" t="n"/>
      <c r="H71" s="42" t="n"/>
      <c r="I71" s="46" t="n"/>
    </row>
    <row r="72" ht="15" customHeight="1" s="92">
      <c r="A72" s="39" t="inlineStr">
        <is>
          <t>• Formül: CO2e = (Tutar × EF) / (Amortisman × 1000)  →  ton CO2e</t>
        </is>
      </c>
    </row>
    <row r="73" ht="15" customHeight="1" s="92">
      <c r="A73" s="39" t="inlineStr">
        <is>
          <t>• Kaynak: EPA Supply Chain GHG Emission Factors v1.2</t>
        </is>
      </c>
    </row>
    <row r="74"/>
    <row r="75" ht="15.95" customHeight="1" s="92">
      <c r="A75" s="5" t="n"/>
      <c r="B75" s="6" t="inlineStr">
        <is>
          <t>← YOU FILL THESE (blue)</t>
        </is>
      </c>
    </row>
    <row r="76" ht="15.95" customHeight="1" s="92">
      <c r="A76" s="7" t="n"/>
      <c r="B76" s="8" t="inlineStr">
        <is>
          <t>← AUTO-FILLED FROM ONLINE — you can override (green)</t>
        </is>
      </c>
    </row>
    <row r="77" ht="15.95" customHeight="1" s="92">
      <c r="A77" s="9" t="n"/>
      <c r="B77" s="10" t="inlineStr">
        <is>
          <t>← DO NOT EDIT — calculated by system (grey)</t>
        </is>
      </c>
    </row>
    <row r="78" ht="15.95" customHeight="1" s="92">
      <c r="A78" s="11" t="n"/>
      <c r="B78" s="12" t="inlineStr">
        <is>
          <t>← TOTALS (yellow)</t>
        </is>
      </c>
    </row>
  </sheetData>
  <mergeCells count="5">
    <mergeCell ref="A73:I73"/>
    <mergeCell ref="A2:I2"/>
    <mergeCell ref="A71:I71"/>
    <mergeCell ref="A1:I1"/>
    <mergeCell ref="A72:I7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M14" sqref="M14"/>
    </sheetView>
  </sheetViews>
  <sheetFormatPr baseColWidth="8" defaultRowHeight="15"/>
  <cols>
    <col width="8" customWidth="1" style="92" min="1" max="1"/>
    <col width="10" customWidth="1" style="92" min="2" max="2"/>
    <col width="22" customWidth="1" style="92" min="3" max="3"/>
    <col width="14" customWidth="1" style="92" min="4" max="4"/>
    <col width="8" customWidth="1" style="92" min="5" max="5"/>
    <col width="18" customWidth="1" style="92" min="6" max="6"/>
    <col width="28" customWidth="1" style="92" min="7" max="7"/>
    <col width="14" customWidth="1" style="92" min="8" max="8"/>
    <col width="20" customWidth="1" style="92" min="9" max="9"/>
  </cols>
  <sheetData>
    <row r="1" ht="33.95" customHeight="1" s="92">
      <c r="A1" s="44" t="inlineStr">
        <is>
          <t>4.3 — Atık Bertarafı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57.75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Atık Türü</t>
        </is>
      </c>
      <c r="D3" s="1" t="inlineStr">
        <is>
          <t>Miktar (kg)</t>
        </is>
      </c>
      <c r="E3" s="45" t="inlineStr">
        <is>
          <t>Birim
🟢
(USD/TL/EUR/GBP/kg/ton)</t>
        </is>
      </c>
      <c r="F3" s="1" t="inlineStr">
        <is>
          <t>EF
(kg CO2e/kg)
🟢 Online</t>
        </is>
      </c>
      <c r="G3" s="1" t="inlineStr">
        <is>
          <t>EF Kaynak
🟢</t>
        </is>
      </c>
      <c r="H3" s="1" t="inlineStr">
        <is>
          <t>CO2e (ton)
⚪</t>
        </is>
      </c>
      <c r="I3" s="1" t="inlineStr">
        <is>
          <t>Not</t>
        </is>
      </c>
    </row>
    <row r="4" ht="20.1" customHeight="1" s="92">
      <c r="A4" s="22" t="n">
        <v>2023</v>
      </c>
      <c r="B4" s="2" t="inlineStr">
        <is>
          <t>4.3.1</t>
        </is>
      </c>
      <c r="C4" s="2" t="inlineStr">
        <is>
          <t>Atık Cam</t>
        </is>
      </c>
      <c r="D4" s="2" t="n">
        <v>0.466</v>
      </c>
      <c r="E4" s="3" t="inlineStr">
        <is>
          <t>ton</t>
        </is>
      </c>
      <c r="F4" s="4" t="n">
        <v>21.8</v>
      </c>
      <c r="G4" s="4" t="inlineStr">
        <is>
          <t>DEFRA 2023</t>
        </is>
      </c>
      <c r="H4" s="129" t="n">
        <v>0.0102</v>
      </c>
      <c r="I4" s="2" t="n"/>
    </row>
    <row r="5" ht="20.1" customHeight="1" s="92">
      <c r="A5" s="22" t="n">
        <v>2023</v>
      </c>
      <c r="B5" s="2" t="inlineStr">
        <is>
          <t>4.3.2</t>
        </is>
      </c>
      <c r="C5" s="2" t="inlineStr">
        <is>
          <t>Atık Kağıt</t>
        </is>
      </c>
      <c r="D5" s="2" t="n">
        <v>7.9</v>
      </c>
      <c r="E5" s="3" t="inlineStr">
        <is>
          <t>ton</t>
        </is>
      </c>
      <c r="F5" s="4" t="n">
        <v>21.8</v>
      </c>
      <c r="G5" s="4" t="inlineStr">
        <is>
          <t>DEFRA 2023</t>
        </is>
      </c>
      <c r="H5" s="129" t="n">
        <v>0.1722</v>
      </c>
      <c r="I5" s="2" t="n"/>
    </row>
    <row r="6" ht="20.1" customHeight="1" s="92">
      <c r="A6" s="22" t="n">
        <v>2023</v>
      </c>
      <c r="B6" s="2" t="inlineStr">
        <is>
          <t>4.3.3</t>
        </is>
      </c>
      <c r="C6" s="2" t="inlineStr">
        <is>
          <t>Atık Metal</t>
        </is>
      </c>
      <c r="D6" s="2" t="n">
        <v>0.326</v>
      </c>
      <c r="E6" s="3" t="inlineStr">
        <is>
          <t>ton</t>
        </is>
      </c>
      <c r="F6" s="4" t="n">
        <v>21.8</v>
      </c>
      <c r="G6" s="4" t="inlineStr">
        <is>
          <t>DEFRA 2023</t>
        </is>
      </c>
      <c r="H6" s="129" t="n">
        <v>0.0071</v>
      </c>
      <c r="I6" s="2" t="n"/>
    </row>
    <row r="7" ht="20.1" customHeight="1" s="92">
      <c r="A7" s="22" t="n">
        <v>2023</v>
      </c>
      <c r="B7" s="2" t="inlineStr">
        <is>
          <t>4.3.4</t>
        </is>
      </c>
      <c r="C7" s="2" t="inlineStr">
        <is>
          <t>Atık Piller</t>
        </is>
      </c>
      <c r="D7" s="2" t="n">
        <v>0.013</v>
      </c>
      <c r="E7" s="3" t="inlineStr">
        <is>
          <t>ton</t>
        </is>
      </c>
      <c r="F7" s="4" t="n">
        <v>21.8</v>
      </c>
      <c r="G7" s="4" t="inlineStr">
        <is>
          <t>DEFRA 2023</t>
        </is>
      </c>
      <c r="H7" s="129" t="n">
        <v>0.0003</v>
      </c>
      <c r="I7" s="2" t="n"/>
    </row>
    <row r="8" ht="20.1" customHeight="1" s="92">
      <c r="A8" s="22" t="n">
        <v>2023</v>
      </c>
      <c r="B8" s="2" t="inlineStr">
        <is>
          <t>4.3.5</t>
        </is>
      </c>
      <c r="C8" s="2" t="inlineStr">
        <is>
          <t>Atık Plastik</t>
        </is>
      </c>
      <c r="D8" s="2" t="n">
        <v>0.994</v>
      </c>
      <c r="E8" s="3" t="inlineStr">
        <is>
          <t>ton</t>
        </is>
      </c>
      <c r="F8" s="4" t="n">
        <v>21.8</v>
      </c>
      <c r="G8" s="4" t="inlineStr">
        <is>
          <t>DEFRA 2023</t>
        </is>
      </c>
      <c r="H8" s="129" t="n">
        <v>0.0217</v>
      </c>
      <c r="I8" s="2" t="n"/>
    </row>
    <row r="9" ht="20.1" customHeight="1" s="92">
      <c r="A9" s="75" t="n"/>
      <c r="B9" s="73" t="n"/>
      <c r="C9" s="73" t="n"/>
      <c r="D9" s="73" t="n"/>
      <c r="E9" s="71" t="n"/>
      <c r="F9" s="72" t="n"/>
      <c r="G9" s="72" t="n"/>
      <c r="H9" s="129" t="n">
        <v>0.0369</v>
      </c>
      <c r="I9" s="73" t="n"/>
    </row>
    <row r="10" ht="20.1" customHeight="1" s="92">
      <c r="A10" s="22" t="n">
        <v>2024</v>
      </c>
      <c r="B10" s="2" t="inlineStr">
        <is>
          <t>4.3.1</t>
        </is>
      </c>
      <c r="C10" s="2" t="inlineStr">
        <is>
          <t>Atık Cam</t>
        </is>
      </c>
      <c r="D10" s="2" t="n">
        <v>1.691</v>
      </c>
      <c r="E10" s="3" t="inlineStr">
        <is>
          <t>ton</t>
        </is>
      </c>
      <c r="F10" s="4" t="n">
        <v>21.8</v>
      </c>
      <c r="G10" s="4" t="inlineStr">
        <is>
          <t>DEFRA 2023</t>
        </is>
      </c>
      <c r="H10" s="129" t="n">
        <v>0.9697</v>
      </c>
      <c r="I10" s="2" t="n"/>
    </row>
    <row r="11" ht="20.1" customHeight="1" s="92">
      <c r="A11" s="22" t="n">
        <v>2024</v>
      </c>
      <c r="B11" s="2" t="inlineStr">
        <is>
          <t>4.3.2</t>
        </is>
      </c>
      <c r="C11" s="2" t="inlineStr">
        <is>
          <t>Atık Kağıt</t>
        </is>
      </c>
      <c r="D11" s="2" t="n">
        <v>44.48</v>
      </c>
      <c r="E11" s="3" t="inlineStr">
        <is>
          <t>ton</t>
        </is>
      </c>
      <c r="F11" s="4" t="n">
        <v>21.8</v>
      </c>
      <c r="G11" s="4" t="inlineStr">
        <is>
          <t>DEFRA 2023</t>
        </is>
      </c>
      <c r="H11" s="129" t="n">
        <v>0.0547</v>
      </c>
      <c r="I11" s="2" t="n"/>
    </row>
    <row r="12" ht="20.1" customHeight="1" s="92">
      <c r="A12" s="22" t="n">
        <v>2024</v>
      </c>
      <c r="B12" s="2" t="inlineStr">
        <is>
          <t>4.3.3</t>
        </is>
      </c>
      <c r="C12" s="2" t="inlineStr">
        <is>
          <t>Atık Metal</t>
        </is>
      </c>
      <c r="D12" s="2" t="n">
        <v>2.507</v>
      </c>
      <c r="E12" s="3" t="inlineStr">
        <is>
          <t>ton</t>
        </is>
      </c>
      <c r="F12" s="4" t="n">
        <v>21.8</v>
      </c>
      <c r="G12" s="4" t="inlineStr">
        <is>
          <t>DEFRA 2023</t>
        </is>
      </c>
      <c r="H12" s="129" t="n">
        <v>0.0014</v>
      </c>
      <c r="I12" s="2" t="n"/>
    </row>
    <row r="13" ht="20.1" customHeight="1" s="92">
      <c r="A13" s="22" t="n">
        <v>2024</v>
      </c>
      <c r="B13" s="2" t="inlineStr">
        <is>
          <t>4.3.4</t>
        </is>
      </c>
      <c r="C13" s="2" t="inlineStr">
        <is>
          <t>Atık Piller</t>
        </is>
      </c>
      <c r="D13" s="2" t="n">
        <v>0.065</v>
      </c>
      <c r="E13" s="3" t="inlineStr">
        <is>
          <t>ton</t>
        </is>
      </c>
      <c r="F13" s="4" t="n">
        <v>21.8</v>
      </c>
      <c r="G13" s="4" t="inlineStr">
        <is>
          <t>DEFRA 2023</t>
        </is>
      </c>
      <c r="H13" s="129" t="n">
        <v>0.1082</v>
      </c>
      <c r="I13" s="2" t="n"/>
    </row>
    <row r="14" ht="20.1" customHeight="1" s="92">
      <c r="A14" s="22" t="n">
        <v>2024</v>
      </c>
      <c r="B14" s="2" t="inlineStr">
        <is>
          <t>4.3.5</t>
        </is>
      </c>
      <c r="C14" s="2" t="inlineStr">
        <is>
          <t>Atık Plastik</t>
        </is>
      </c>
      <c r="D14" s="2" t="n">
        <v>4.964</v>
      </c>
      <c r="E14" s="3" t="inlineStr">
        <is>
          <t>ton</t>
        </is>
      </c>
      <c r="F14" s="4" t="n">
        <v>21.8</v>
      </c>
      <c r="G14" s="4" t="inlineStr">
        <is>
          <t>DEFRA 2023</t>
        </is>
      </c>
      <c r="H14" s="33">
        <f>IF(D14=0,0,IF(OR(LOWER(E14)="kg",LOWER(E14)="ton",LOWER(E14)="tonne"),D14*IF(LOWER(E14)="kg",1,IF(OR(LOWER(E14)="ton",LOWER(E14)="tonne"),1000,0))*F14/1000,IF(OR(LOWER(E14)="usd",LOWER(E14)="$",ISNUMBER(SEARCH("usd",LOWER(E14)))),D14*F14/1000,IF(OR(LOWER(E14)="eur",E14="€"),D14*1.08*F14/1000,IF(OR(LOWER(E14)="gbp",E14="£"),D14*1.27*F14/1000,0)))))/1000</f>
        <v/>
      </c>
      <c r="I14" s="2" t="n"/>
    </row>
    <row r="15" ht="20.1" customHeight="1" s="92">
      <c r="A15" s="75" t="n"/>
      <c r="B15" s="73" t="n"/>
      <c r="C15" s="73" t="n"/>
      <c r="D15" s="73" t="n"/>
      <c r="E15" s="71" t="n"/>
      <c r="F15" s="72" t="n"/>
      <c r="G15" s="72" t="n"/>
      <c r="H15" s="33" t="n"/>
      <c r="I15" s="73" t="n"/>
    </row>
    <row r="16" ht="20.1" customHeight="1" s="92">
      <c r="A16" s="75" t="n"/>
      <c r="B16" s="73" t="n"/>
      <c r="C16" s="73" t="n"/>
      <c r="D16" s="73" t="n"/>
      <c r="E16" s="71" t="n"/>
      <c r="F16" s="72" t="n"/>
      <c r="G16" s="72" t="n"/>
      <c r="H16" s="33" t="n"/>
      <c r="I16" s="73" t="n"/>
    </row>
    <row r="17" ht="20.1" customHeight="1" s="92">
      <c r="A17" s="75" t="n"/>
      <c r="B17" s="73" t="n"/>
      <c r="C17" s="73" t="n"/>
      <c r="D17" s="73" t="n"/>
      <c r="E17" s="71" t="n"/>
      <c r="F17" s="72" t="n"/>
      <c r="G17" s="72" t="n"/>
      <c r="H17" s="33" t="n"/>
      <c r="I17" s="73" t="n"/>
    </row>
    <row r="18" ht="20.1" customHeight="1" s="92">
      <c r="A18" s="75" t="n"/>
      <c r="B18" s="73" t="n"/>
      <c r="C18" s="73" t="n"/>
      <c r="D18" s="73" t="n"/>
      <c r="E18" s="71" t="n"/>
      <c r="F18" s="72" t="n"/>
      <c r="G18" s="72" t="n"/>
      <c r="H18" s="33" t="n"/>
      <c r="I18" s="73" t="n"/>
    </row>
    <row r="19" ht="20.1" customHeight="1" s="92">
      <c r="A19" s="75" t="n"/>
      <c r="B19" s="73" t="n"/>
      <c r="C19" s="73" t="n"/>
      <c r="D19" s="73" t="n"/>
      <c r="E19" s="71" t="n"/>
      <c r="F19" s="72" t="n"/>
      <c r="G19" s="72" t="n"/>
      <c r="H19" s="33" t="n"/>
      <c r="I19" s="73" t="n"/>
    </row>
    <row r="20" ht="20.1" customHeight="1" s="92">
      <c r="A20" s="75" t="n"/>
      <c r="B20" s="73" t="n"/>
      <c r="C20" s="73" t="n"/>
      <c r="D20" s="73" t="n"/>
      <c r="E20" s="71" t="n"/>
      <c r="F20" s="72" t="n"/>
      <c r="G20" s="72" t="n"/>
      <c r="H20" s="33" t="n"/>
      <c r="I20" s="73" t="n"/>
    </row>
    <row r="21" ht="20.1" customHeight="1" s="92">
      <c r="A21" s="2" t="n"/>
      <c r="B21" s="2" t="n"/>
      <c r="C21" s="2" t="n"/>
      <c r="D21" s="2" t="n"/>
      <c r="E21" s="3" t="n"/>
      <c r="F21" s="4" t="n"/>
      <c r="G21" s="4" t="n"/>
      <c r="H21" s="3" t="n"/>
      <c r="I21" s="2" t="n"/>
    </row>
    <row r="22" ht="20.1" customHeight="1" s="92">
      <c r="A22" s="2" t="n"/>
      <c r="B22" s="2" t="n"/>
      <c r="C22" s="2" t="n"/>
      <c r="D22" s="2" t="n"/>
      <c r="E22" s="3" t="n"/>
      <c r="F22" s="4" t="n"/>
      <c r="G22" s="4" t="n"/>
      <c r="H22" s="3" t="n"/>
      <c r="I22" s="2" t="n"/>
    </row>
    <row r="23" ht="20.1" customHeight="1" s="92">
      <c r="A23" s="2" t="n"/>
      <c r="B23" s="2" t="n"/>
      <c r="C23" s="2" t="n"/>
      <c r="D23" s="2" t="n"/>
      <c r="E23" s="3" t="n"/>
      <c r="F23" s="4" t="n"/>
      <c r="G23" s="4" t="n"/>
      <c r="H23" s="3" t="n"/>
      <c r="I23" s="2" t="n"/>
    </row>
    <row r="24" ht="20.1" customHeight="1" s="92">
      <c r="A24" s="2" t="n"/>
      <c r="B24" s="2" t="n"/>
      <c r="C24" s="2" t="n"/>
      <c r="D24" s="2" t="n"/>
      <c r="E24" s="3" t="n"/>
      <c r="F24" s="4" t="n"/>
      <c r="G24" s="4" t="n"/>
      <c r="H24" s="3" t="n"/>
      <c r="I24" s="2" t="n"/>
    </row>
    <row r="25"/>
    <row r="26" ht="20.1" customHeight="1" s="92">
      <c r="A26" s="107" t="inlineStr">
        <is>
          <t>NOTLAR VE KAYNAKLAR</t>
        </is>
      </c>
      <c r="B26" s="42" t="n"/>
      <c r="C26" s="42" t="n"/>
      <c r="D26" s="42" t="n"/>
      <c r="E26" s="42" t="n"/>
      <c r="F26" s="42" t="n"/>
      <c r="G26" s="42" t="n"/>
      <c r="H26" s="42" t="n"/>
      <c r="I26" s="46" t="n"/>
    </row>
    <row r="27" ht="15" customHeight="1" s="92">
      <c r="A27" s="39" t="inlineStr">
        <is>
          <t>• CO2e = Miktar (kg) × EF / 1000  →  ton CO2e</t>
        </is>
      </c>
    </row>
    <row r="28" ht="15" customHeight="1" s="92">
      <c r="A28" s="39" t="inlineStr">
        <is>
          <t>• Kaynak: DEFRA GHG Conversion Factors 2023</t>
        </is>
      </c>
    </row>
    <row r="29"/>
    <row r="30" ht="15.95" customHeight="1" s="92">
      <c r="A30" s="5" t="n"/>
      <c r="B30" s="6" t="inlineStr">
        <is>
          <t>← YOU FILL THESE (blue)</t>
        </is>
      </c>
    </row>
    <row r="31" ht="15.95" customHeight="1" s="92">
      <c r="A31" s="7" t="n"/>
      <c r="B31" s="8" t="inlineStr">
        <is>
          <t>← AUTO-FILLED FROM ONLINE — you can override (green)</t>
        </is>
      </c>
    </row>
    <row r="32" ht="15.95" customHeight="1" s="92">
      <c r="A32" s="9" t="n"/>
      <c r="B32" s="10" t="inlineStr">
        <is>
          <t>← DO NOT EDIT — calculated by system (grey)</t>
        </is>
      </c>
    </row>
    <row r="33" ht="15.95" customHeight="1" s="92">
      <c r="A33" s="11" t="n"/>
      <c r="B33" s="12" t="inlineStr">
        <is>
          <t>← TOTALS (yellow)</t>
        </is>
      </c>
    </row>
  </sheetData>
  <mergeCells count="5">
    <mergeCell ref="A2:I2"/>
    <mergeCell ref="A28:I28"/>
    <mergeCell ref="A1:I1"/>
    <mergeCell ref="A27:I27"/>
    <mergeCell ref="A26:I2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I21" sqref="I21"/>
    </sheetView>
  </sheetViews>
  <sheetFormatPr baseColWidth="8" defaultRowHeight="15"/>
  <cols>
    <col width="8" customWidth="1" style="92" min="1" max="1"/>
    <col width="10" customWidth="1" style="92" min="2" max="2"/>
    <col width="28" customWidth="1" style="92" min="3" max="3"/>
    <col width="16" customWidth="1" style="92" min="4" max="4"/>
    <col width="12" customWidth="1" style="92" min="5" max="5"/>
    <col width="20" customWidth="1" style="92" min="6" max="6"/>
    <col width="22" customWidth="1" style="92" min="7" max="7"/>
    <col width="14" customWidth="1" style="92" min="8" max="8"/>
    <col width="22" customWidth="1" style="92" min="9" max="9"/>
  </cols>
  <sheetData>
    <row r="1" ht="33.95" customHeight="1" s="92">
      <c r="A1" s="44" t="inlineStr">
        <is>
          <t>4.4 — Kiralanan Ekipmanlar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Ekipman Adı</t>
        </is>
      </c>
      <c r="D3" s="1" t="inlineStr">
        <is>
          <t>Tutar (2021 USD)</t>
        </is>
      </c>
      <c r="E3" s="45" t="inlineStr">
        <is>
          <t>Birim
🟢
(USD/TL/EUR/GBP/kg/ton)</t>
        </is>
      </c>
      <c r="F3" s="1" t="inlineStr">
        <is>
          <t>EF
(kg CO2e/2021 USD)
🟢 Online</t>
        </is>
      </c>
      <c r="G3" s="1" t="inlineStr">
        <is>
          <t>EF Kaynak
🟢</t>
        </is>
      </c>
      <c r="H3" s="1" t="inlineStr">
        <is>
          <t>CO2e (ton)
⚪</t>
        </is>
      </c>
      <c r="I3" s="1" t="inlineStr">
        <is>
          <t>Not</t>
        </is>
      </c>
    </row>
    <row r="4" ht="20.1" customHeight="1" s="92">
      <c r="A4" s="22" t="n">
        <v>2024</v>
      </c>
      <c r="B4" s="2" t="inlineStr">
        <is>
          <t>4.4.1</t>
        </is>
      </c>
      <c r="C4" s="2" t="inlineStr">
        <is>
          <t>Televizyon Kiralık</t>
        </is>
      </c>
      <c r="D4" s="2" t="n">
        <v>262</v>
      </c>
      <c r="E4" s="3" t="inlineStr">
        <is>
          <t>2021 USD</t>
        </is>
      </c>
      <c r="F4" s="4" t="n">
        <v>0.134</v>
      </c>
      <c r="G4" s="4" t="inlineStr">
        <is>
          <t>SupplyChainGHG v1.2</t>
        </is>
      </c>
      <c r="H4" s="129" t="n">
        <v>0.0351</v>
      </c>
      <c r="I4" s="2" t="n"/>
    </row>
    <row r="5" ht="20.1" customHeight="1" s="92">
      <c r="A5" s="22" t="n"/>
      <c r="B5" s="2" t="n"/>
      <c r="C5" s="2" t="n"/>
      <c r="D5" s="2" t="n"/>
      <c r="E5" s="3" t="n"/>
      <c r="F5" s="4" t="n"/>
      <c r="G5" s="4" t="n"/>
      <c r="H5" s="33" t="n"/>
      <c r="I5" s="2" t="n"/>
    </row>
    <row r="6" ht="20.1" customHeight="1" s="92">
      <c r="A6" s="2" t="n"/>
      <c r="B6" s="2" t="n"/>
      <c r="C6" s="2" t="n"/>
      <c r="D6" s="2" t="n"/>
      <c r="E6" s="3" t="n"/>
      <c r="F6" s="4" t="n"/>
      <c r="G6" s="4" t="n"/>
      <c r="H6" s="3" t="n"/>
      <c r="I6" s="2" t="n"/>
    </row>
    <row r="7" ht="20.1" customHeight="1" s="92">
      <c r="A7" s="2" t="n"/>
      <c r="B7" s="2" t="n"/>
      <c r="C7" s="2" t="n"/>
      <c r="D7" s="2" t="n"/>
      <c r="E7" s="3" t="n"/>
      <c r="F7" s="4" t="n"/>
      <c r="G7" s="4" t="n"/>
      <c r="H7" s="3" t="n"/>
      <c r="I7" s="2" t="n"/>
    </row>
    <row r="8" ht="20.1" customHeight="1" s="92">
      <c r="A8" s="2" t="n"/>
      <c r="B8" s="2" t="n"/>
      <c r="C8" s="2" t="n"/>
      <c r="D8" s="2" t="n"/>
      <c r="E8" s="3" t="n"/>
      <c r="F8" s="4" t="n"/>
      <c r="G8" s="4" t="n"/>
      <c r="H8" s="3" t="n"/>
      <c r="I8" s="2" t="n"/>
    </row>
    <row r="9" ht="20.1" customHeight="1" s="92">
      <c r="A9" s="2" t="n"/>
      <c r="B9" s="2" t="n"/>
      <c r="C9" s="2" t="n"/>
      <c r="D9" s="2" t="n"/>
      <c r="E9" s="3" t="n"/>
      <c r="F9" s="4" t="n"/>
      <c r="G9" s="4" t="n"/>
      <c r="H9" s="3" t="n"/>
      <c r="I9" s="2" t="n"/>
    </row>
    <row r="10"/>
    <row r="11" ht="20.1" customHeight="1" s="92">
      <c r="A11" s="107" t="inlineStr">
        <is>
          <t>NOTLAR VE KAYNAKLAR</t>
        </is>
      </c>
      <c r="B11" s="42" t="n"/>
      <c r="C11" s="42" t="n"/>
      <c r="D11" s="42" t="n"/>
      <c r="E11" s="42" t="n"/>
      <c r="F11" s="42" t="n"/>
      <c r="G11" s="42" t="n"/>
      <c r="H11" s="42" t="n"/>
      <c r="I11" s="46" t="n"/>
    </row>
    <row r="12" ht="15" customHeight="1" s="92">
      <c r="A12" s="39" t="inlineStr">
        <is>
          <t>• CO2e = (Tutar × EF) / 1000  →  ton CO2e</t>
        </is>
      </c>
    </row>
    <row r="13" ht="15" customHeight="1" s="92">
      <c r="A13" s="39" t="inlineStr">
        <is>
          <t>• Kaynak: EPA Supply Chain GHG Emission Factors v1.2</t>
        </is>
      </c>
    </row>
    <row r="14"/>
    <row r="15" ht="15.95" customHeight="1" s="92">
      <c r="A15" s="5" t="n"/>
      <c r="B15" s="6" t="inlineStr">
        <is>
          <t>← YOU FILL THESE (blue)</t>
        </is>
      </c>
    </row>
    <row r="16" ht="15.95" customHeight="1" s="92">
      <c r="A16" s="7" t="n"/>
      <c r="B16" s="8" t="inlineStr">
        <is>
          <t>← AUTO-FILLED FROM ONLINE — you can override (green)</t>
        </is>
      </c>
    </row>
    <row r="17" ht="15.95" customHeight="1" s="92">
      <c r="A17" s="9" t="n"/>
      <c r="B17" s="10" t="inlineStr">
        <is>
          <t>← DO NOT EDIT — calculated by system (grey)</t>
        </is>
      </c>
    </row>
    <row r="18" ht="15.95" customHeight="1" s="92">
      <c r="A18" s="11" t="n"/>
      <c r="B18" s="12" t="inlineStr">
        <is>
          <t>← TOTALS (yellow)</t>
        </is>
      </c>
    </row>
  </sheetData>
  <mergeCells count="5">
    <mergeCell ref="A2:I2"/>
    <mergeCell ref="A11:I11"/>
    <mergeCell ref="A13:I13"/>
    <mergeCell ref="A1:I1"/>
    <mergeCell ref="A12:I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38"/>
  <sheetViews>
    <sheetView showGridLines="0" workbookViewId="0">
      <selection activeCell="P20" sqref="P20"/>
    </sheetView>
  </sheetViews>
  <sheetFormatPr baseColWidth="8" defaultRowHeight="15"/>
  <cols>
    <col width="8" customWidth="1" style="92" min="1" max="1"/>
    <col width="10" customWidth="1" style="92" min="2" max="2"/>
    <col width="28" customWidth="1" style="92" min="3" max="3"/>
    <col width="16" customWidth="1" style="92" min="4" max="4"/>
    <col width="27" customWidth="1" style="92" min="5" max="5"/>
    <col width="20" customWidth="1" style="92" min="6" max="6"/>
    <col width="22" customWidth="1" style="92" min="7" max="7"/>
    <col width="14" customWidth="1" style="92" min="8" max="8"/>
    <col width="22" customWidth="1" style="92" min="9" max="9"/>
  </cols>
  <sheetData>
    <row r="1" ht="33.95" customHeight="1" s="92">
      <c r="A1" s="44" t="inlineStr">
        <is>
          <t>4.5 — Hizmet Alımları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1" t="inlineStr">
        <is>
          <t>Kategori</t>
        </is>
      </c>
      <c r="C3" s="1" t="inlineStr">
        <is>
          <t>Hizmet Adı</t>
        </is>
      </c>
      <c r="D3" s="1" t="inlineStr">
        <is>
          <t>Tutar (2021 USD)</t>
        </is>
      </c>
      <c r="E3" s="45" t="inlineStr">
        <is>
          <t>Birim
🟢
(USD/TL/EUR/GBP/kg/ton)</t>
        </is>
      </c>
      <c r="F3" s="1" t="inlineStr">
        <is>
          <t>EF
(kg CO2e/2021 USD)
🟢 Online</t>
        </is>
      </c>
      <c r="G3" s="1" t="inlineStr">
        <is>
          <t>EF Kaynak
🟢</t>
        </is>
      </c>
      <c r="H3" s="1" t="inlineStr">
        <is>
          <t>CO2e (ton)
⚪</t>
        </is>
      </c>
      <c r="I3" s="1" t="inlineStr">
        <is>
          <t>Not</t>
        </is>
      </c>
    </row>
    <row r="4" ht="20.1" customHeight="1" s="92">
      <c r="A4" s="22" t="n">
        <v>2023</v>
      </c>
      <c r="B4" s="2" t="inlineStr">
        <is>
          <t>4.5.1</t>
        </is>
      </c>
      <c r="C4" s="2" t="inlineStr">
        <is>
          <t>Temizlik</t>
        </is>
      </c>
      <c r="D4" s="2" t="n">
        <v>189026.96</v>
      </c>
      <c r="E4" s="3" t="inlineStr">
        <is>
          <t>2021 USD</t>
        </is>
      </c>
      <c r="F4" s="4" t="n">
        <v>0.167</v>
      </c>
      <c r="G4" s="4" t="inlineStr">
        <is>
          <t>SupplyChainGHG v1.2</t>
        </is>
      </c>
      <c r="H4" s="129" t="n">
        <v>31.5675</v>
      </c>
      <c r="I4" s="2" t="n"/>
    </row>
    <row r="5" ht="20.1" customHeight="1" s="92">
      <c r="A5" s="22" t="n">
        <v>2023</v>
      </c>
      <c r="B5" s="2" t="inlineStr">
        <is>
          <t>4.5.2</t>
        </is>
      </c>
      <c r="C5" s="2" t="inlineStr">
        <is>
          <t>Güvenlik</t>
        </is>
      </c>
      <c r="D5" s="2" t="n">
        <v>136523.65</v>
      </c>
      <c r="E5" s="3" t="inlineStr">
        <is>
          <t>2021 USD</t>
        </is>
      </c>
      <c r="F5" s="4" t="n">
        <v>0.08</v>
      </c>
      <c r="G5" s="4" t="inlineStr">
        <is>
          <t>SupplyChainGHG v1.2</t>
        </is>
      </c>
      <c r="H5" s="129" t="n">
        <v>10.9219</v>
      </c>
      <c r="I5" s="2" t="n"/>
    </row>
    <row r="6" ht="20.1" customHeight="1" s="92">
      <c r="A6" s="22" t="n">
        <v>2023</v>
      </c>
      <c r="B6" s="2" t="inlineStr">
        <is>
          <t>4.5.3</t>
        </is>
      </c>
      <c r="C6" s="2" t="inlineStr">
        <is>
          <t>Bakım Onarım ve Tadilat İşleri</t>
        </is>
      </c>
      <c r="D6" s="2" t="n">
        <v>59074.66</v>
      </c>
      <c r="E6" s="3" t="inlineStr">
        <is>
          <t>2021 USD</t>
        </is>
      </c>
      <c r="F6" s="4" t="n">
        <v>0.21</v>
      </c>
      <c r="G6" s="4" t="inlineStr">
        <is>
          <t>SupplyChainGHG v1.2</t>
        </is>
      </c>
      <c r="H6" s="129" t="n">
        <v>12.4057</v>
      </c>
      <c r="I6" s="2" t="n"/>
    </row>
    <row r="7" ht="20.1" customHeight="1" s="92">
      <c r="A7" s="22" t="n">
        <v>2023</v>
      </c>
      <c r="B7" s="2" t="inlineStr">
        <is>
          <t>4.5.4</t>
        </is>
      </c>
      <c r="C7" s="2" t="inlineStr">
        <is>
          <t>Nakliye Hizmeti (Dizel)</t>
        </is>
      </c>
      <c r="D7" s="2" t="n">
        <v>422.69</v>
      </c>
      <c r="E7" s="3" t="inlineStr">
        <is>
          <t>ton</t>
        </is>
      </c>
      <c r="F7" s="4" t="n">
        <v>1</v>
      </c>
      <c r="G7" s="4" t="inlineStr">
        <is>
          <t>SupplyChainGHG v1.2</t>
        </is>
      </c>
      <c r="H7" s="129" t="n">
        <v>0.4227</v>
      </c>
      <c r="I7" s="2" t="inlineStr">
        <is>
          <t>Hesaplama Yeri aşağıdadır</t>
        </is>
      </c>
    </row>
    <row r="8" ht="20.1" customHeight="1" s="92">
      <c r="A8" s="22" t="n"/>
      <c r="B8" s="2" t="n"/>
      <c r="C8" s="2" t="n"/>
      <c r="D8" s="2" t="n"/>
      <c r="E8" s="3" t="n"/>
      <c r="F8" s="4" t="n"/>
      <c r="G8" s="4" t="n"/>
      <c r="H8" s="129" t="n">
        <v>33.868</v>
      </c>
      <c r="I8" s="2" t="n"/>
    </row>
    <row r="9" ht="20.1" customHeight="1" s="92">
      <c r="A9" s="75" t="n">
        <v>2024</v>
      </c>
      <c r="B9" s="73" t="inlineStr">
        <is>
          <t>4.5.1</t>
        </is>
      </c>
      <c r="C9" s="73" t="inlineStr">
        <is>
          <t>Temizlik Hizmeti</t>
        </is>
      </c>
      <c r="D9" s="73" t="n">
        <v>202802.59</v>
      </c>
      <c r="E9" s="71" t="inlineStr">
        <is>
          <t>2021 USD</t>
        </is>
      </c>
      <c r="F9" s="72" t="n">
        <v>0.167</v>
      </c>
      <c r="G9" s="72" t="inlineStr">
        <is>
          <t>SupplyChainGHG v1.2</t>
        </is>
      </c>
      <c r="H9" s="129" t="n">
        <v>14.6028</v>
      </c>
      <c r="I9" s="73" t="n"/>
    </row>
    <row r="10" ht="20.1" customHeight="1" s="92">
      <c r="A10" s="75" t="n">
        <v>2024</v>
      </c>
      <c r="B10" s="73" t="inlineStr">
        <is>
          <t>4.5.2</t>
        </is>
      </c>
      <c r="C10" s="73" t="inlineStr">
        <is>
          <t>Güvenlik Hizmeti</t>
        </is>
      </c>
      <c r="D10" s="73" t="n">
        <v>182535.12</v>
      </c>
      <c r="E10" s="71" t="inlineStr">
        <is>
          <t>2021 USD</t>
        </is>
      </c>
      <c r="F10" s="72" t="n">
        <v>0.08</v>
      </c>
      <c r="G10" s="72" t="inlineStr">
        <is>
          <t>SupplyChainGHG v1.2</t>
        </is>
      </c>
      <c r="H10" s="129" t="n">
        <v>161.3372</v>
      </c>
      <c r="I10" s="73" t="n"/>
    </row>
    <row r="11" ht="20.1" customHeight="1" s="92">
      <c r="A11" s="75" t="n">
        <v>2024</v>
      </c>
      <c r="B11" s="73" t="inlineStr">
        <is>
          <t>4.5.3</t>
        </is>
      </c>
      <c r="C11" s="73" t="inlineStr">
        <is>
          <t>Catering (Yemek)</t>
        </is>
      </c>
      <c r="D11" s="73" t="n">
        <v>1008357.63</v>
      </c>
      <c r="E11" s="71" t="inlineStr">
        <is>
          <t>2021 USD</t>
        </is>
      </c>
      <c r="F11" s="72" t="n">
        <v>0.16</v>
      </c>
      <c r="G11" s="72" t="inlineStr">
        <is>
          <t>SupplyChainGHG v1.2</t>
        </is>
      </c>
      <c r="H11" s="129" t="n">
        <v>4203.5964</v>
      </c>
      <c r="I11" s="73" t="n"/>
    </row>
    <row r="12" ht="20.1" customHeight="1" s="92">
      <c r="A12" s="75" t="n">
        <v>2024</v>
      </c>
      <c r="B12" s="73" t="inlineStr">
        <is>
          <t>4.5.4</t>
        </is>
      </c>
      <c r="C12" s="73" t="inlineStr">
        <is>
          <t>Nakliye Hizmeti</t>
        </is>
      </c>
      <c r="D12" s="73" t="n">
        <v>3753211.03</v>
      </c>
      <c r="E12" s="71" t="inlineStr">
        <is>
          <t>2021 USD</t>
        </is>
      </c>
      <c r="F12" s="72" t="n">
        <v>1.12</v>
      </c>
      <c r="G12" s="72" t="inlineStr">
        <is>
          <t>SupplyChainGHG v1.2</t>
        </is>
      </c>
      <c r="H12" s="129" t="n">
        <v>102.4856</v>
      </c>
      <c r="I12" s="73" t="n"/>
    </row>
    <row r="13" ht="20.1" customHeight="1" s="92">
      <c r="A13" s="75" t="n">
        <v>2024</v>
      </c>
      <c r="B13" s="73" t="inlineStr">
        <is>
          <t>4.5.5</t>
        </is>
      </c>
      <c r="C13" s="73" t="inlineStr">
        <is>
          <t>Kargo Hizmeti</t>
        </is>
      </c>
      <c r="D13" s="73" t="n">
        <v>394175.42</v>
      </c>
      <c r="E13" s="71" t="inlineStr">
        <is>
          <t>2021 USD</t>
        </is>
      </c>
      <c r="F13" s="72" t="n">
        <v>0.26</v>
      </c>
      <c r="G13" s="72" t="inlineStr">
        <is>
          <t>SupplyChainGHG v1.2</t>
        </is>
      </c>
      <c r="H13" s="129" t="n">
        <v>0</v>
      </c>
      <c r="I13" s="73" t="n"/>
    </row>
    <row r="14" ht="20.1" customHeight="1" s="92">
      <c r="A14" s="75" t="n"/>
      <c r="B14" s="73" t="n"/>
      <c r="C14" s="73" t="n"/>
      <c r="D14" s="73" t="n"/>
      <c r="E14" s="71" t="n"/>
      <c r="F14" s="72" t="n"/>
      <c r="G14" s="72" t="n"/>
      <c r="H14" s="129" t="n">
        <v>0</v>
      </c>
      <c r="I14" s="73" t="n"/>
    </row>
    <row r="15" ht="20.1" customHeight="1" s="92">
      <c r="A15" s="75" t="n">
        <v>2025</v>
      </c>
      <c r="B15" s="73" t="inlineStr">
        <is>
          <t>4.5.1</t>
        </is>
      </c>
      <c r="C15" s="73" t="inlineStr">
        <is>
          <t>Temizlik Hizmeti</t>
        </is>
      </c>
      <c r="D15" s="73" t="n">
        <v>0</v>
      </c>
      <c r="E15" s="71" t="inlineStr">
        <is>
          <t>2021 USD</t>
        </is>
      </c>
      <c r="F15" s="72" t="n">
        <v>0</v>
      </c>
      <c r="G15" s="72" t="inlineStr">
        <is>
          <t>SupplyChainGHG v1.2</t>
        </is>
      </c>
      <c r="H15" s="129" t="n">
        <v>0</v>
      </c>
      <c r="I15" s="73" t="n"/>
    </row>
    <row r="16" ht="20.1" customHeight="1" s="92">
      <c r="A16" s="2" t="n">
        <v>2025</v>
      </c>
      <c r="B16" s="2" t="inlineStr">
        <is>
          <t>4.5.2</t>
        </is>
      </c>
      <c r="C16" s="2" t="inlineStr">
        <is>
          <t>Güvenlik Hizmeti</t>
        </is>
      </c>
      <c r="D16" s="2" t="n">
        <v>0</v>
      </c>
      <c r="E16" s="3" t="inlineStr">
        <is>
          <t>2021 USD</t>
        </is>
      </c>
      <c r="F16" s="4" t="n">
        <v>0</v>
      </c>
      <c r="G16" s="4" t="inlineStr">
        <is>
          <t>SupplyChainGHG v1.2</t>
        </is>
      </c>
      <c r="H16" s="129" t="n">
        <v>0</v>
      </c>
      <c r="I16" s="2" t="n"/>
    </row>
    <row r="17" ht="20.1" customHeight="1" s="92">
      <c r="A17" s="2" t="n">
        <v>2025</v>
      </c>
      <c r="B17" s="2" t="inlineStr">
        <is>
          <t>4.5.3</t>
        </is>
      </c>
      <c r="C17" s="2" t="inlineStr">
        <is>
          <t>Catering (Yemek)</t>
        </is>
      </c>
      <c r="D17" s="2" t="n">
        <v>0</v>
      </c>
      <c r="E17" s="3" t="inlineStr">
        <is>
          <t>2021 USD</t>
        </is>
      </c>
      <c r="F17" s="4" t="n">
        <v>0</v>
      </c>
      <c r="G17" s="4" t="inlineStr">
        <is>
          <t>SupplyChainGHG v1.2</t>
        </is>
      </c>
      <c r="H17" s="129" t="n">
        <v>0</v>
      </c>
      <c r="I17" s="2" t="n"/>
    </row>
    <row r="18" ht="20.1" customHeight="1" s="92">
      <c r="A18" s="2" t="n">
        <v>2025</v>
      </c>
      <c r="B18" s="2" t="inlineStr">
        <is>
          <t>4.5.4</t>
        </is>
      </c>
      <c r="C18" s="2" t="inlineStr">
        <is>
          <t>Nakliye Hizmeti</t>
        </is>
      </c>
      <c r="D18" s="2" t="n">
        <v>0</v>
      </c>
      <c r="E18" s="3" t="inlineStr">
        <is>
          <t>2021 USD</t>
        </is>
      </c>
      <c r="F18" s="4" t="n">
        <v>0</v>
      </c>
      <c r="G18" s="4" t="inlineStr">
        <is>
          <t>SupplyChainGHG v1.2</t>
        </is>
      </c>
      <c r="H18" s="129" t="n">
        <v>0</v>
      </c>
      <c r="I18" s="2" t="n"/>
    </row>
    <row r="19" ht="20.1" customHeight="1" s="92">
      <c r="A19" s="2" t="n">
        <v>2025</v>
      </c>
      <c r="B19" s="2" t="inlineStr">
        <is>
          <t>4.5.5</t>
        </is>
      </c>
      <c r="C19" s="2" t="inlineStr">
        <is>
          <t>Kargo Hizmeti</t>
        </is>
      </c>
      <c r="D19" s="2" t="n">
        <v>0</v>
      </c>
      <c r="E19" s="3" t="inlineStr">
        <is>
          <t>2021 USD</t>
        </is>
      </c>
      <c r="F19" s="4" t="n">
        <v>0</v>
      </c>
      <c r="G19" s="4" t="inlineStr">
        <is>
          <t>SupplyChainGHG v1.2</t>
        </is>
      </c>
      <c r="H19" s="3" t="n">
        <v>0</v>
      </c>
      <c r="I19" s="2" t="n"/>
    </row>
    <row r="20" ht="20.1" customHeight="1" s="92">
      <c r="A20" s="75" t="n"/>
      <c r="B20" s="73" t="n"/>
      <c r="C20" s="73" t="n"/>
      <c r="D20" s="73" t="n"/>
      <c r="E20" s="71" t="n"/>
      <c r="F20" s="72" t="n"/>
      <c r="G20" s="72" t="n"/>
      <c r="H20" s="33" t="n"/>
      <c r="I20" s="73" t="n"/>
    </row>
    <row r="21" ht="20.1" customHeight="1" s="92">
      <c r="A21" s="2" t="n"/>
      <c r="B21" s="2" t="n"/>
      <c r="C21" s="2" t="n"/>
      <c r="D21" s="2" t="n"/>
      <c r="E21" s="3" t="n"/>
      <c r="F21" s="4" t="n"/>
      <c r="G21" s="4" t="n"/>
      <c r="H21" s="3" t="n"/>
      <c r="I21" s="2" t="n"/>
    </row>
    <row r="22" ht="20.1" customHeight="1" s="92">
      <c r="A22" s="2" t="n"/>
      <c r="B22" s="2" t="n"/>
      <c r="C22" s="2" t="n"/>
      <c r="D22" s="2" t="n"/>
      <c r="E22" s="3" t="n"/>
      <c r="F22" s="4" t="n"/>
      <c r="G22" s="4" t="n"/>
      <c r="H22" s="3" t="n"/>
      <c r="I22" s="2" t="n"/>
    </row>
    <row r="23" ht="20.1" customHeight="1" s="92">
      <c r="A23" s="2" t="n"/>
      <c r="B23" s="2" t="n"/>
      <c r="C23" s="2" t="n"/>
      <c r="D23" s="2" t="n"/>
      <c r="E23" s="3" t="n"/>
      <c r="F23" s="4" t="n"/>
      <c r="G23" s="4" t="n"/>
      <c r="H23" s="3" t="n"/>
      <c r="I23" s="2" t="n"/>
    </row>
    <row r="24" ht="20.1" customHeight="1" s="92">
      <c r="A24" s="2" t="n"/>
      <c r="B24" s="2" t="n"/>
      <c r="C24" s="2" t="n"/>
      <c r="D24" s="2" t="n"/>
      <c r="E24" s="3" t="n"/>
      <c r="F24" s="4" t="n"/>
      <c r="G24" s="4" t="n"/>
      <c r="H24" s="3" t="n"/>
      <c r="I24" s="2" t="n"/>
    </row>
    <row r="25"/>
    <row r="26" ht="20.1" customHeight="1" s="92">
      <c r="A26" s="107" t="inlineStr">
        <is>
          <t>NOTLAR VE KAYNAKLAR</t>
        </is>
      </c>
      <c r="B26" s="42" t="n"/>
      <c r="C26" s="42" t="n"/>
      <c r="D26" s="42" t="n"/>
      <c r="E26" s="42" t="n"/>
      <c r="F26" s="42" t="n"/>
      <c r="G26" s="42" t="n"/>
      <c r="H26" s="42" t="n"/>
      <c r="I26" s="46" t="n"/>
    </row>
    <row r="27" ht="15" customHeight="1" s="92">
      <c r="A27" s="39" t="inlineStr">
        <is>
          <t>• CO2e = (Tutar × EF) / 1000  →  ton CO2e</t>
        </is>
      </c>
    </row>
    <row r="28" ht="15" customHeight="1" s="92">
      <c r="A28" s="39" t="inlineStr">
        <is>
          <t>• Kaynak: EPA Supply Chain GHG Emission Factors v1.2</t>
        </is>
      </c>
    </row>
    <row r="29"/>
    <row r="30" ht="15.95" customHeight="1" s="92">
      <c r="A30" s="5" t="n"/>
      <c r="B30" s="6" t="inlineStr">
        <is>
          <t>← YOU FILL THESE (blue)</t>
        </is>
      </c>
    </row>
    <row r="31" ht="15.95" customHeight="1" s="92">
      <c r="A31" s="7" t="n"/>
      <c r="B31" s="8" t="inlineStr">
        <is>
          <t>← AUTO-FILLED FROM ONLINE — you can override (green)</t>
        </is>
      </c>
    </row>
    <row r="32" ht="15.95" customHeight="1" s="92">
      <c r="A32" s="9" t="n"/>
      <c r="B32" s="10" t="inlineStr">
        <is>
          <t>← DO NOT EDIT — calculated by system (grey)</t>
        </is>
      </c>
    </row>
    <row r="33" ht="15.95" customHeight="1" s="92">
      <c r="A33" s="11" t="n"/>
      <c r="B33" s="12" t="inlineStr">
        <is>
          <t>← TOTALS (yellow)</t>
        </is>
      </c>
    </row>
    <row r="34"/>
    <row r="35">
      <c r="A35" s="93" t="n">
        <v>2023</v>
      </c>
      <c r="F35" s="100" t="n"/>
      <c r="K35" s="96" t="n"/>
      <c r="L35" s="109" t="n"/>
      <c r="N35" s="96" t="n"/>
      <c r="O35" s="96" t="n"/>
      <c r="Q35" s="96" t="n"/>
      <c r="R35" s="96" t="n"/>
      <c r="Z35" s="86" t="inlineStr">
        <is>
          <t>GWP(CH4)</t>
        </is>
      </c>
      <c r="AA35" s="86" t="inlineStr">
        <is>
          <t>Ref.</t>
        </is>
      </c>
      <c r="AB35" s="86" t="inlineStr">
        <is>
          <t>CO2e (CH4)</t>
        </is>
      </c>
      <c r="AC35" s="86" t="inlineStr">
        <is>
          <t>GWP(N2O)</t>
        </is>
      </c>
      <c r="AD35" s="86" t="inlineStr">
        <is>
          <t>Ref.</t>
        </is>
      </c>
      <c r="AE35" s="86" t="inlineStr">
        <is>
          <t>CO2e (N2O)</t>
        </is>
      </c>
      <c r="AF35" s="86" t="inlineStr">
        <is>
          <t>CO2e</t>
        </is>
      </c>
    </row>
    <row r="36">
      <c r="C36" s="105" t="inlineStr">
        <is>
          <t>FV HAM</t>
        </is>
      </c>
      <c r="D36" s="110" t="n"/>
      <c r="E36" s="89" t="inlineStr">
        <is>
          <t>Yoğunluk Faktörü</t>
        </is>
      </c>
      <c r="F36" s="110" t="n"/>
      <c r="G36" s="105" t="inlineStr">
        <is>
          <t>ToNF</t>
        </is>
      </c>
      <c r="H36" s="110" t="n"/>
      <c r="I36" s="105" t="inlineStr">
        <is>
          <t>FV</t>
        </is>
      </c>
      <c r="J36" s="110" t="n"/>
      <c r="K36" s="105" t="inlineStr">
        <is>
          <t>NKD</t>
        </is>
      </c>
      <c r="L36" s="111" t="n"/>
      <c r="M36" s="110" t="n"/>
      <c r="N36" s="95" t="inlineStr">
        <is>
          <t>EF</t>
        </is>
      </c>
      <c r="O36" s="112" t="n"/>
      <c r="P36" s="112" t="n"/>
      <c r="Q36" s="112" t="n"/>
      <c r="R36" s="112" t="n"/>
      <c r="S36" s="112" t="n"/>
      <c r="T36" s="112" t="n"/>
      <c r="U36" s="112" t="n"/>
      <c r="V36" s="113" t="n"/>
      <c r="W36" s="95" t="inlineStr">
        <is>
          <t>Emisyonlar</t>
        </is>
      </c>
      <c r="X36" s="112" t="n"/>
      <c r="Y36" s="113" t="n"/>
      <c r="Z36" s="114" t="n"/>
      <c r="AA36" s="114" t="n"/>
      <c r="AB36" s="114" t="n"/>
      <c r="AC36" s="114" t="n"/>
      <c r="AD36" s="114" t="n"/>
      <c r="AE36" s="114" t="n"/>
      <c r="AF36" s="115" t="n"/>
    </row>
    <row r="37">
      <c r="C37" s="116" t="n"/>
      <c r="D37" s="117" t="n"/>
      <c r="E37" s="116" t="n"/>
      <c r="F37" s="117" t="n"/>
      <c r="G37" s="116" t="n"/>
      <c r="H37" s="117" t="n"/>
      <c r="I37" s="116" t="n"/>
      <c r="J37" s="117" t="n"/>
      <c r="K37" s="116" t="n"/>
      <c r="L37" s="118" t="n"/>
      <c r="M37" s="117" t="n"/>
      <c r="N37" s="95" t="inlineStr">
        <is>
          <t>CO2</t>
        </is>
      </c>
      <c r="O37" s="112" t="n"/>
      <c r="P37" s="113" t="n"/>
      <c r="Q37" s="95" t="inlineStr">
        <is>
          <t>CH4</t>
        </is>
      </c>
      <c r="R37" s="112" t="n"/>
      <c r="S37" s="113" t="n"/>
      <c r="T37" s="95" t="inlineStr">
        <is>
          <t>N2O</t>
        </is>
      </c>
      <c r="U37" s="112" t="n"/>
      <c r="V37" s="113" t="n"/>
      <c r="W37" s="95" t="inlineStr">
        <is>
          <t>CO2</t>
        </is>
      </c>
      <c r="X37" s="95" t="inlineStr">
        <is>
          <t>CH4</t>
        </is>
      </c>
      <c r="Y37" s="95" t="inlineStr">
        <is>
          <t>N2O</t>
        </is>
      </c>
      <c r="Z37" s="115" t="n"/>
      <c r="AA37" s="115" t="n"/>
      <c r="AB37" s="115" t="n"/>
      <c r="AC37" s="115" t="n"/>
      <c r="AD37" s="115" t="n"/>
      <c r="AE37" s="115" t="n"/>
      <c r="AF37" s="95" t="inlineStr">
        <is>
          <t>Değer(ton)</t>
        </is>
      </c>
    </row>
    <row r="38" ht="90" customHeight="1" s="92">
      <c r="A38" s="98" t="inlineStr">
        <is>
          <t>Nakliye Hizmetleri
(on-road)</t>
        </is>
      </c>
      <c r="B38" s="94" t="inlineStr">
        <is>
          <t>dizel</t>
        </is>
      </c>
      <c r="C38" s="119" t="n">
        <v>154528.495</v>
      </c>
      <c r="D38" s="99" t="inlineStr">
        <is>
          <t>L</t>
        </is>
      </c>
      <c r="E38" s="105" t="n">
        <v>0.845</v>
      </c>
      <c r="F38" s="99" t="inlineStr">
        <is>
          <t>kg/L</t>
        </is>
      </c>
      <c r="G38" s="120" t="n">
        <v>1e-06</v>
      </c>
      <c r="H38" s="94" t="inlineStr">
        <is>
          <t>Gg/kg</t>
        </is>
      </c>
      <c r="I38" s="121">
        <f>C38*E38*G38</f>
        <v/>
      </c>
      <c r="J38" s="101" t="inlineStr">
        <is>
          <t>Gg</t>
        </is>
      </c>
      <c r="K38" s="101" t="n">
        <v>43</v>
      </c>
      <c r="L38" s="99" t="inlineStr">
        <is>
          <t>TJ/Gg</t>
        </is>
      </c>
      <c r="M38" s="99" t="inlineStr">
        <is>
          <t>REF#5</t>
        </is>
      </c>
      <c r="N38" s="99" t="n">
        <v>74.09999999999999</v>
      </c>
      <c r="O38" s="99" t="inlineStr">
        <is>
          <t>Ton/Tj</t>
        </is>
      </c>
      <c r="P38" s="99" t="inlineStr">
        <is>
          <t>REF#3</t>
        </is>
      </c>
      <c r="Q38" s="99" t="n">
        <v>0.0039</v>
      </c>
      <c r="R38" s="99" t="inlineStr">
        <is>
          <t>Ton/Tj</t>
        </is>
      </c>
      <c r="S38" s="99" t="inlineStr">
        <is>
          <t>REF#3</t>
        </is>
      </c>
      <c r="T38" s="99" t="n">
        <v>0.0039</v>
      </c>
      <c r="U38" s="99" t="inlineStr">
        <is>
          <t>Ton/Tj</t>
        </is>
      </c>
      <c r="V38" s="99" t="inlineStr">
        <is>
          <t>REF#3</t>
        </is>
      </c>
      <c r="W38" s="99">
        <f>(I38)*K38*(N38)*1</f>
        <v/>
      </c>
      <c r="X38" s="122">
        <f>(I38)*K38*(Q38)*1</f>
        <v/>
      </c>
      <c r="Y38" s="99">
        <f>(I38)*K38*(T38)</f>
        <v/>
      </c>
      <c r="Z38" s="99" t="n">
        <v>29.8</v>
      </c>
      <c r="AA38" s="99" t="inlineStr">
        <is>
          <t>REF#1</t>
        </is>
      </c>
      <c r="AB38" s="123">
        <f>X38*Z38</f>
        <v/>
      </c>
      <c r="AC38" s="99" t="n">
        <v>273</v>
      </c>
      <c r="AD38" s="99" t="inlineStr">
        <is>
          <t>REF#1</t>
        </is>
      </c>
      <c r="AE38" s="123">
        <f>Y38*AC38</f>
        <v/>
      </c>
      <c r="AF38" s="104">
        <f>SUM(W38+AB38+AE38)</f>
        <v/>
      </c>
    </row>
  </sheetData>
  <mergeCells count="22">
    <mergeCell ref="AC35:AC37"/>
    <mergeCell ref="Z35:Z37"/>
    <mergeCell ref="A27:I27"/>
    <mergeCell ref="C36:D37"/>
    <mergeCell ref="A26:I26"/>
    <mergeCell ref="A2:I2"/>
    <mergeCell ref="E36:F37"/>
    <mergeCell ref="K36:M37"/>
    <mergeCell ref="AE35:AE37"/>
    <mergeCell ref="T37:V37"/>
    <mergeCell ref="A28:I28"/>
    <mergeCell ref="AF35:AF36"/>
    <mergeCell ref="AB35:AB37"/>
    <mergeCell ref="AD35:AD37"/>
    <mergeCell ref="G36:H37"/>
    <mergeCell ref="N36:V36"/>
    <mergeCell ref="Q37:S37"/>
    <mergeCell ref="I36:J37"/>
    <mergeCell ref="AA35:AA37"/>
    <mergeCell ref="A1:I1"/>
    <mergeCell ref="N37:P37"/>
    <mergeCell ref="W36:Y36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G32" sqref="G32"/>
    </sheetView>
  </sheetViews>
  <sheetFormatPr baseColWidth="8" defaultRowHeight="15"/>
  <cols>
    <col width="8" customWidth="1" style="92" min="1" max="1"/>
    <col width="18" customWidth="1" style="92" min="2" max="2"/>
    <col width="14" customWidth="1" style="92" min="3" max="4"/>
    <col width="16" customWidth="1" style="92" min="5" max="5"/>
    <col width="25.140625" customWidth="1" style="92" min="6" max="6"/>
    <col width="33.42578125" customWidth="1" style="92" min="7" max="7"/>
    <col width="27.28515625" customWidth="1" style="92" min="8" max="8"/>
  </cols>
  <sheetData>
    <row r="1" ht="33.95" customHeight="1" s="92">
      <c r="A1" s="44" t="inlineStr">
        <is>
          <t>6.1 — Elektrik İletim &amp; Dağıtım Kayıpları</t>
        </is>
      </c>
    </row>
    <row r="2" ht="15" customHeight="1" s="92">
      <c r="A2" s="40" t="inlineStr">
        <is>
          <t>MAVİ = siz doldurun  |  YEŞİL = online'dan otomatik, üzerine yazılabilir  |  GRİ = hesaplanan, dokunmayın</t>
        </is>
      </c>
    </row>
    <row r="3" ht="38.1" customHeight="1" s="92">
      <c r="A3" s="1" t="inlineStr">
        <is>
          <t>Yıl</t>
        </is>
      </c>
      <c r="B3" s="45" t="inlineStr">
        <is>
          <t>Tüketim
(kWh/MWh/GWh)</t>
        </is>
      </c>
      <c r="C3" s="45" t="inlineStr">
        <is>
          <t>Birim
🟢
(kWh/MWh/GWh)</t>
        </is>
      </c>
      <c r="D3" s="1" t="inlineStr">
        <is>
          <t>Konum EF
(ton CO2e/MWh)
🟢</t>
        </is>
      </c>
      <c r="E3" s="1" t="inlineStr">
        <is>
          <t>Pazar EF
(ton CO2e/MWh)
🟢</t>
        </is>
      </c>
      <c r="F3" s="1" t="inlineStr">
        <is>
          <t>T&amp;D Kayıp EF
(fark)
⚪</t>
        </is>
      </c>
      <c r="G3" s="1" t="inlineStr">
        <is>
          <t>CO2e (ton)
⚪</t>
        </is>
      </c>
      <c r="H3" s="1" t="inlineStr">
        <is>
          <t>Not</t>
        </is>
      </c>
    </row>
    <row r="4" ht="20.1" customHeight="1" s="92">
      <c r="A4" s="2" t="n"/>
      <c r="B4" s="2" t="n"/>
      <c r="C4" s="58" t="n"/>
      <c r="D4" s="4" t="n"/>
      <c r="E4" s="4" t="n"/>
      <c r="F4" s="33" t="n"/>
      <c r="G4" s="33" t="n"/>
      <c r="H4" s="2" t="n"/>
    </row>
    <row r="5" ht="20.1" customHeight="1" s="92">
      <c r="A5" s="2" t="n"/>
      <c r="B5" s="2" t="n"/>
      <c r="C5" s="58" t="n"/>
      <c r="D5" s="4" t="n"/>
      <c r="E5" s="4" t="n"/>
      <c r="F5" s="33" t="n"/>
      <c r="G5" s="33" t="n"/>
      <c r="H5" s="2" t="n"/>
    </row>
    <row r="6" ht="20.1" customHeight="1" s="92">
      <c r="A6" s="2" t="n"/>
      <c r="B6" s="2" t="n"/>
      <c r="C6" s="4" t="n"/>
      <c r="D6" s="4" t="n"/>
      <c r="E6" s="4" t="n"/>
      <c r="F6" s="3" t="n"/>
      <c r="G6" s="3" t="n"/>
      <c r="H6" s="2" t="n"/>
    </row>
    <row r="7" ht="20.1" customHeight="1" s="92">
      <c r="A7" s="2" t="n"/>
      <c r="B7" s="2" t="n"/>
      <c r="C7" s="4" t="n"/>
      <c r="D7" s="4" t="n"/>
      <c r="E7" s="4" t="n"/>
      <c r="F7" s="3" t="n"/>
      <c r="G7" s="3" t="n"/>
      <c r="H7" s="2" t="n"/>
    </row>
    <row r="8" ht="20.1" customHeight="1" s="92">
      <c r="A8" s="2" t="n"/>
      <c r="B8" s="2" t="n"/>
      <c r="C8" s="4" t="n"/>
      <c r="D8" s="4" t="n"/>
      <c r="E8" s="4" t="n"/>
      <c r="F8" s="3" t="n"/>
      <c r="G8" s="3" t="n"/>
      <c r="H8" s="2" t="n"/>
    </row>
    <row r="9" ht="20.1" customHeight="1" s="92">
      <c r="A9" s="2" t="n"/>
      <c r="B9" s="2" t="n"/>
      <c r="C9" s="4" t="n"/>
      <c r="D9" s="4" t="n"/>
      <c r="E9" s="4" t="n"/>
      <c r="F9" s="3" t="n"/>
      <c r="G9" s="3" t="n"/>
      <c r="H9" s="2" t="n"/>
    </row>
    <row r="10"/>
    <row r="11" ht="20.1" customHeight="1" s="92">
      <c r="A11" s="107" t="inlineStr">
        <is>
          <t>NOTLAR VE KAYNAKLAR</t>
        </is>
      </c>
      <c r="B11" s="42" t="n"/>
      <c r="C11" s="42" t="n"/>
      <c r="D11" s="42" t="n"/>
      <c r="E11" s="42" t="n"/>
      <c r="F11" s="42" t="n"/>
      <c r="G11" s="46" t="n"/>
      <c r="H11" s="43" t="n"/>
    </row>
    <row r="12" ht="15" customHeight="1" s="92">
      <c r="A12" s="39" t="inlineStr">
        <is>
          <t>• CO2e = Tüketim (kWh) / 1000 × T&amp;D Kayıp EF  →  ton CO2e</t>
        </is>
      </c>
    </row>
    <row r="13" ht="15" customHeight="1" s="92">
      <c r="A13" s="39" t="inlineStr">
        <is>
          <t>• Kaynak: TEİAŞ / EPDK</t>
        </is>
      </c>
    </row>
    <row r="14"/>
    <row r="15" ht="15.95" customHeight="1" s="92">
      <c r="A15" s="5" t="n"/>
      <c r="B15" s="6" t="inlineStr">
        <is>
          <t>← YOU FILL THESE (blue)</t>
        </is>
      </c>
    </row>
    <row r="16" ht="15.95" customHeight="1" s="92">
      <c r="A16" s="7" t="n"/>
      <c r="B16" s="8" t="inlineStr">
        <is>
          <t>← AUTO-FILLED FROM ONLINE — you can override (green)</t>
        </is>
      </c>
    </row>
    <row r="17" ht="15.95" customHeight="1" s="92">
      <c r="A17" s="9" t="n"/>
      <c r="B17" s="10" t="inlineStr">
        <is>
          <t>← DO NOT EDIT — calculated by system (grey)</t>
        </is>
      </c>
    </row>
    <row r="18" ht="15.95" customHeight="1" s="92">
      <c r="A18" s="11" t="n"/>
      <c r="B18" s="12" t="inlineStr">
        <is>
          <t>← TOTALS (yellow)</t>
        </is>
      </c>
    </row>
  </sheetData>
  <mergeCells count="5">
    <mergeCell ref="A13:G13"/>
    <mergeCell ref="A1:G1"/>
    <mergeCell ref="A12:G12"/>
    <mergeCell ref="A2:G2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topLeftCell="A2" workbookViewId="0">
      <selection activeCell="C4" sqref="C4:C8"/>
    </sheetView>
  </sheetViews>
  <sheetFormatPr baseColWidth="8" defaultRowHeight="15"/>
  <cols>
    <col width="10" customWidth="1" style="92" min="1" max="1"/>
    <col width="32" customWidth="1" style="92" min="2" max="2"/>
    <col width="18" customWidth="1" style="92" min="3" max="3"/>
    <col width="24" customWidth="1" style="92" min="4" max="4"/>
    <col width="30" customWidth="1" style="92" min="5" max="5"/>
  </cols>
  <sheetData>
    <row r="1" ht="22" customHeight="1" s="92">
      <c r="A1" s="124" t="inlineStr">
        <is>
          <t>PERSONEL — Lokasyon &amp; Kişi Sayısı</t>
        </is>
      </c>
      <c r="B1" s="134" t="n"/>
      <c r="C1" s="134" t="n"/>
      <c r="D1" s="134" t="n"/>
      <c r="E1" s="135" t="n"/>
    </row>
    <row r="2" ht="16" customHeight="1" s="92">
      <c r="A2" s="125" t="inlineStr">
        <is>
          <t>Lokasyon adı ve yıllık ortalama personel sayısını girin. PER_CAPITA sayfası buradan otomatik hesaplar.</t>
        </is>
      </c>
      <c r="B2" s="134" t="n"/>
      <c r="C2" s="134" t="n"/>
      <c r="D2" s="134" t="n"/>
      <c r="E2" s="135" t="n"/>
    </row>
    <row r="3" ht="24" customHeight="1" s="92">
      <c r="A3" s="126" t="inlineStr">
        <is>
          <t>Yıl</t>
        </is>
      </c>
      <c r="B3" s="126" t="inlineStr">
        <is>
          <t>Lokasyon Adı</t>
        </is>
      </c>
      <c r="C3" s="126" t="inlineStr">
        <is>
          <t>Personel Sayısı</t>
        </is>
      </c>
      <c r="D3" s="126" t="inlineStr">
        <is>
          <t>Lokasyon Türü</t>
        </is>
      </c>
      <c r="E3" s="126" t="inlineStr">
        <is>
          <t>Not</t>
        </is>
      </c>
    </row>
    <row r="4" ht="20" customHeight="1" s="92">
      <c r="A4" s="127" t="n">
        <v>2023</v>
      </c>
      <c r="B4" s="127" t="inlineStr">
        <is>
          <t>Genel Müdürlük</t>
        </is>
      </c>
      <c r="C4" s="127" t="n">
        <v>702</v>
      </c>
      <c r="D4" s="127" t="inlineStr">
        <is>
          <t>Ofis</t>
        </is>
      </c>
      <c r="E4" s="127" t="inlineStr">
        <is>
          <t>İstanbul merkez</t>
        </is>
      </c>
    </row>
    <row r="5" ht="20.1" customHeight="1" s="92">
      <c r="A5" s="2" t="n"/>
      <c r="B5" s="2" t="n"/>
      <c r="C5" s="2" t="n"/>
      <c r="D5" s="2" t="n"/>
      <c r="E5" s="2" t="n"/>
    </row>
    <row r="6" ht="20" customHeight="1" s="92">
      <c r="A6" s="127" t="n">
        <v>2024</v>
      </c>
      <c r="B6" s="127" t="inlineStr">
        <is>
          <t>Genel Müdürlük</t>
        </is>
      </c>
      <c r="C6" s="127" t="n">
        <v>774</v>
      </c>
      <c r="D6" s="127" t="inlineStr">
        <is>
          <t>Ofis</t>
        </is>
      </c>
      <c r="E6" s="127" t="inlineStr">
        <is>
          <t>İstanbul merkez</t>
        </is>
      </c>
    </row>
    <row r="7" ht="20.1" customHeight="1" s="92">
      <c r="A7" s="2" t="n"/>
      <c r="B7" s="2" t="n"/>
      <c r="C7" s="2" t="n"/>
      <c r="D7" s="2" t="n"/>
      <c r="E7" s="2" t="n"/>
    </row>
    <row r="8" ht="20" customHeight="1" s="92">
      <c r="A8" s="127" t="n">
        <v>2025</v>
      </c>
      <c r="B8" s="127" t="inlineStr">
        <is>
          <t>Genel Müdürlük</t>
        </is>
      </c>
      <c r="C8" s="127" t="n">
        <v>756</v>
      </c>
      <c r="D8" s="127" t="inlineStr">
        <is>
          <t>Ofis</t>
        </is>
      </c>
      <c r="E8" s="127" t="inlineStr">
        <is>
          <t>İstanbul merkez</t>
        </is>
      </c>
    </row>
    <row r="9" ht="20.1" customHeight="1" s="92">
      <c r="A9" s="2" t="n"/>
      <c r="B9" s="2" t="n"/>
      <c r="C9" s="2" t="n"/>
      <c r="D9" s="2" t="n"/>
      <c r="E9" s="2" t="n"/>
    </row>
    <row r="10" ht="20.1" customHeight="1" s="92">
      <c r="A10" s="2" t="n"/>
      <c r="B10" s="2" t="n"/>
      <c r="C10" s="2" t="n"/>
      <c r="D10" s="2" t="n"/>
      <c r="E10" s="2" t="n"/>
    </row>
    <row r="11" ht="20.1" customHeight="1" s="92">
      <c r="A11" s="2" t="n"/>
      <c r="B11" s="2" t="n"/>
      <c r="C11" s="2" t="n"/>
      <c r="D11" s="2" t="n"/>
      <c r="E11" s="2" t="n"/>
    </row>
    <row r="12" ht="20.1" customHeight="1" s="92">
      <c r="A12" s="2" t="n"/>
      <c r="B12" s="2" t="n"/>
      <c r="C12" s="2" t="n"/>
      <c r="D12" s="2" t="n"/>
      <c r="E12" s="2" t="n"/>
    </row>
    <row r="13" ht="20.1" customHeight="1" s="92">
      <c r="A13" s="2" t="n"/>
      <c r="B13" s="2" t="n"/>
      <c r="C13" s="2" t="n"/>
      <c r="D13" s="2" t="n"/>
      <c r="E13" s="2" t="n"/>
    </row>
    <row r="14" ht="20.1" customHeight="1" s="92">
      <c r="A14" s="2" t="n"/>
      <c r="B14" s="2" t="n"/>
      <c r="C14" s="2" t="n"/>
      <c r="D14" s="2" t="n"/>
      <c r="E14" s="2" t="n"/>
    </row>
    <row r="15" ht="20.1" customHeight="1" s="92">
      <c r="A15" s="2" t="n"/>
      <c r="B15" s="2" t="n"/>
      <c r="C15" s="2" t="n"/>
      <c r="D15" s="2" t="n"/>
      <c r="E15" s="2" t="n"/>
    </row>
    <row r="16"/>
    <row r="17">
      <c r="A17" s="107" t="inlineStr">
        <is>
          <t>NOTLAR</t>
        </is>
      </c>
      <c r="B17" s="42" t="n"/>
      <c r="C17" s="42" t="n"/>
      <c r="D17" s="42" t="n"/>
      <c r="E17" s="46" t="n"/>
    </row>
    <row r="18" ht="15" customHeight="1" s="92">
      <c r="A18" s="39" t="inlineStr">
        <is>
          <t>• Her yıl için tüm lokasyonları girin.</t>
        </is>
      </c>
    </row>
    <row r="19" ht="15" customHeight="1" s="92">
      <c r="A19" s="39" t="inlineStr">
        <is>
          <t>• Personel sayısı yıllık ortalama kişi sayısıdır.</t>
        </is>
      </c>
    </row>
    <row r="20" ht="15" customHeight="1" s="92">
      <c r="A20" s="39" t="inlineStr">
        <is>
          <t>• Lokasyon türü: Ofis | Üretim | Lojistik | Depo | Şube</t>
        </is>
      </c>
    </row>
    <row r="21" ht="15" customHeight="1" s="92">
      <c r="A21" s="39" t="inlineStr">
        <is>
          <t>• Bu sayfa PER_CAPITA sayfası tarafından otomatik kullanılır.</t>
        </is>
      </c>
    </row>
    <row r="22"/>
    <row r="23" ht="15.95" customHeight="1" s="92">
      <c r="A23" s="5" t="n"/>
      <c r="B23" s="6" t="inlineStr">
        <is>
          <t>← YOU FILL THESE (blue)</t>
        </is>
      </c>
    </row>
    <row r="24" ht="15.95" customHeight="1" s="92">
      <c r="A24" s="7" t="n"/>
      <c r="B24" s="8" t="inlineStr">
        <is>
          <t>← AUTO-FILLED FROM ONLINE — you can override (green)</t>
        </is>
      </c>
    </row>
    <row r="25" ht="15.95" customHeight="1" s="92">
      <c r="A25" s="9" t="n"/>
      <c r="B25" s="10" t="inlineStr">
        <is>
          <t>← DO NOT EDIT — calculated by system (grey)</t>
        </is>
      </c>
    </row>
    <row r="26" ht="15.95" customHeight="1" s="92">
      <c r="A26" s="11" t="n"/>
      <c r="B26" s="12" t="inlineStr">
        <is>
          <t>← TOTALS (yellow)</t>
        </is>
      </c>
    </row>
    <row r="27" ht="20.1" customHeight="1" s="92">
      <c r="A27" s="22" t="n"/>
      <c r="B27" s="22" t="n"/>
      <c r="C27" s="22" t="n"/>
      <c r="D27" s="22" t="n"/>
      <c r="E27" s="22" t="n"/>
    </row>
    <row r="28" ht="20.1" customHeight="1" s="92">
      <c r="A28" s="22" t="n"/>
      <c r="B28" s="22" t="n"/>
      <c r="C28" s="22" t="n"/>
      <c r="D28" s="22" t="n"/>
      <c r="E28" s="22" t="n"/>
    </row>
    <row r="29" ht="20.1" customHeight="1" s="92">
      <c r="A29" s="22" t="n"/>
      <c r="B29" s="22" t="n"/>
      <c r="C29" s="22" t="n"/>
      <c r="D29" s="22" t="n"/>
      <c r="E29" s="22" t="n"/>
    </row>
    <row r="30" ht="20.1" customHeight="1" s="92">
      <c r="A30" s="22" t="n"/>
      <c r="B30" s="22" t="n"/>
      <c r="C30" s="22" t="n"/>
      <c r="D30" s="22" t="n"/>
      <c r="E30" s="22" t="n"/>
    </row>
  </sheetData>
  <mergeCells count="7">
    <mergeCell ref="A21:E21"/>
    <mergeCell ref="A20:E20"/>
    <mergeCell ref="A2:E2"/>
    <mergeCell ref="A19:E19"/>
    <mergeCell ref="A1:E1"/>
    <mergeCell ref="A17:E17"/>
    <mergeCell ref="A18: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D8" sqref="D8"/>
    </sheetView>
  </sheetViews>
  <sheetFormatPr baseColWidth="8" defaultRowHeight="15"/>
  <cols>
    <col width="22" customWidth="1" style="92" min="1" max="1"/>
    <col width="38" customWidth="1" style="92" min="2" max="2"/>
    <col width="18" customWidth="1" style="92" min="3" max="4"/>
    <col width="14" customWidth="1" style="92" min="5" max="5"/>
    <col width="20" customWidth="1" style="92" min="6" max="6"/>
  </cols>
  <sheetData>
    <row r="1" ht="22" customHeight="1" s="92">
      <c r="A1" s="124" t="inlineStr">
        <is>
          <t>TOPLAM EMİSYONLAR — Kapsam Özeti</t>
        </is>
      </c>
      <c r="B1" s="134" t="n"/>
      <c r="C1" s="134" t="n"/>
      <c r="D1" s="134" t="n"/>
      <c r="E1" s="134" t="n"/>
      <c r="F1" s="135" t="n"/>
    </row>
    <row r="2" ht="16" customHeight="1" s="92">
      <c r="A2" s="125" t="inlineStr">
        <is>
          <t>Bu sayfa importer çalıştırıldığında otomatik doldurulur. Manuel düzenleme yapmayın.</t>
        </is>
      </c>
      <c r="B2" s="134" t="n"/>
      <c r="C2" s="134" t="n"/>
      <c r="D2" s="134" t="n"/>
      <c r="E2" s="134" t="n"/>
      <c r="F2" s="135" t="n"/>
    </row>
    <row r="3" ht="24" customHeight="1" s="92">
      <c r="A3" s="126" t="inlineStr">
        <is>
          <t>Kapsam / Kategori</t>
        </is>
      </c>
      <c r="B3" s="126" t="inlineStr">
        <is>
          <t>Açıklama</t>
        </is>
      </c>
      <c r="C3" s="126" t="inlineStr">
        <is>
          <t>2023 (ton CO2e)</t>
        </is>
      </c>
      <c r="D3" s="126" t="inlineStr">
        <is>
          <t>2024 (ton CO2e)</t>
        </is>
      </c>
      <c r="E3" s="126" t="inlineStr">
        <is>
          <t>2025 (ton CO2e)</t>
        </is>
      </c>
      <c r="F3" s="126" t="inlineStr">
        <is>
          <t>Değişim % (2024→2025)</t>
        </is>
      </c>
    </row>
    <row r="4" ht="20" customHeight="1" s="92">
      <c r="A4" s="128" t="inlineStr">
        <is>
          <t>KAPSAM 1</t>
        </is>
      </c>
      <c r="B4" s="128" t="inlineStr">
        <is>
          <t>Doğrudan Emisyonlar</t>
        </is>
      </c>
      <c r="C4" s="128" t="n"/>
      <c r="D4" s="128" t="n"/>
      <c r="E4" s="128" t="n"/>
      <c r="F4" s="128" t="n"/>
    </row>
    <row r="5" ht="20" customHeight="1" s="92">
      <c r="A5" s="129" t="inlineStr">
        <is>
          <t>1.1</t>
        </is>
      </c>
      <c r="B5" s="129" t="inlineStr">
        <is>
          <t>Sabit Yakma</t>
        </is>
      </c>
      <c r="C5" s="129" t="n">
        <v>22.7415</v>
      </c>
      <c r="D5" s="129" t="n">
        <v>19.8424</v>
      </c>
      <c r="E5" s="129" t="n">
        <v>27.8367</v>
      </c>
      <c r="F5" s="129" t="inlineStr">
        <is>
          <t>+40.3%</t>
        </is>
      </c>
    </row>
    <row r="6" ht="20" customHeight="1" s="92">
      <c r="A6" s="129" t="inlineStr">
        <is>
          <t>1.2</t>
        </is>
      </c>
      <c r="B6" s="129" t="inlineStr">
        <is>
          <t>Hareketli Yakma</t>
        </is>
      </c>
      <c r="C6" s="129" t="n">
        <v>552.5562</v>
      </c>
      <c r="D6" s="129" t="n">
        <v>545.3523</v>
      </c>
      <c r="E6" s="129" t="n">
        <v>589.4265</v>
      </c>
      <c r="F6" s="129" t="inlineStr">
        <is>
          <t>+8.1%</t>
        </is>
      </c>
    </row>
    <row r="7" ht="20" customHeight="1" s="92">
      <c r="A7" s="129" t="inlineStr">
        <is>
          <t>1.4</t>
        </is>
      </c>
      <c r="B7" s="129" t="inlineStr">
        <is>
          <t>Soğutucu Gazlar</t>
        </is>
      </c>
      <c r="C7" s="129" t="n">
        <v>677.4023999999999</v>
      </c>
      <c r="D7" s="129" t="n">
        <v>174.3364</v>
      </c>
      <c r="E7" s="129" t="n">
        <v>180.8173</v>
      </c>
      <c r="F7" s="129" t="inlineStr">
        <is>
          <t>+3.7%</t>
        </is>
      </c>
    </row>
    <row r="8" ht="20" customHeight="1" s="92">
      <c r="A8" s="130" t="inlineStr">
        <is>
          <t>Kapsam 1 Top.</t>
        </is>
      </c>
      <c r="B8" s="130" t="inlineStr">
        <is>
          <t>Toplam Kapsam 1</t>
        </is>
      </c>
      <c r="C8" s="129" t="n">
        <v>1252.7</v>
      </c>
      <c r="D8" s="129" t="n">
        <v>739.5309999999999</v>
      </c>
      <c r="E8" s="129" t="n">
        <v>798.0806</v>
      </c>
      <c r="F8" s="130" t="inlineStr">
        <is>
          <t>+7.9%</t>
        </is>
      </c>
    </row>
    <row r="9" ht="20.1" customHeight="1" s="92">
      <c r="A9" s="15" t="n"/>
      <c r="B9" s="15" t="n"/>
      <c r="C9" s="15" t="n"/>
      <c r="D9" s="15" t="n"/>
      <c r="E9" s="15" t="n"/>
      <c r="F9" s="15" t="n"/>
    </row>
    <row r="10" ht="20" customHeight="1" s="92">
      <c r="A10" s="128" t="inlineStr">
        <is>
          <t>KAPSAM 2</t>
        </is>
      </c>
      <c r="B10" s="128" t="inlineStr">
        <is>
          <t>Enerji Dolaylı Emisyonlar</t>
        </is>
      </c>
      <c r="C10" s="128" t="n"/>
      <c r="D10" s="128" t="n"/>
      <c r="E10" s="128" t="n"/>
      <c r="F10" s="128" t="n"/>
    </row>
    <row r="11" ht="20" customHeight="1" s="92">
      <c r="A11" s="129" t="inlineStr">
        <is>
          <t>2.1</t>
        </is>
      </c>
      <c r="B11" s="129" t="inlineStr">
        <is>
          <t>Elektrik Tüketimi</t>
        </is>
      </c>
      <c r="C11" s="129" t="n">
        <v>441.1735</v>
      </c>
      <c r="D11" s="129" t="n">
        <v>454.2567</v>
      </c>
      <c r="E11" s="129" t="n">
        <v>664.2166</v>
      </c>
      <c r="F11" s="129" t="inlineStr">
        <is>
          <t>+46.2%</t>
        </is>
      </c>
    </row>
    <row r="12" ht="20" customHeight="1" s="92">
      <c r="A12" s="130" t="inlineStr">
        <is>
          <t>Kapsam 2 Top.</t>
        </is>
      </c>
      <c r="B12" s="130" t="inlineStr">
        <is>
          <t>Toplam Kapsam 2</t>
        </is>
      </c>
      <c r="C12" s="129" t="n">
        <v>441.1735</v>
      </c>
      <c r="D12" s="129" t="n">
        <v>454.2567</v>
      </c>
      <c r="E12" s="129" t="n">
        <v>664.2166</v>
      </c>
      <c r="F12" s="130" t="inlineStr">
        <is>
          <t>+46.2%</t>
        </is>
      </c>
    </row>
    <row r="13" ht="20.1" customHeight="1" s="92">
      <c r="A13" s="15" t="n"/>
      <c r="B13" s="15" t="n"/>
      <c r="C13" s="15" t="n"/>
      <c r="D13" s="15" t="n"/>
      <c r="E13" s="15" t="n"/>
      <c r="F13" s="15" t="n"/>
    </row>
    <row r="14" ht="20" customHeight="1" s="92">
      <c r="A14" s="128" t="inlineStr">
        <is>
          <t>KAPSAM 3</t>
        </is>
      </c>
      <c r="B14" s="128" t="inlineStr">
        <is>
          <t>Diğer Dolaylı Emisyonlar</t>
        </is>
      </c>
      <c r="C14" s="128" t="n"/>
      <c r="D14" s="128" t="n"/>
      <c r="E14" s="128" t="n"/>
      <c r="F14" s="128" t="n"/>
    </row>
    <row r="15" ht="20" customHeight="1" s="92">
      <c r="A15" s="129" t="inlineStr">
        <is>
          <t>3.1</t>
        </is>
      </c>
      <c r="B15" s="129" t="inlineStr">
        <is>
          <t>Hammadde Sevkiyatı</t>
        </is>
      </c>
      <c r="C15" s="129" t="n">
        <v>0</v>
      </c>
      <c r="D15" s="129" t="n">
        <v>0</v>
      </c>
      <c r="E15" s="129" t="n">
        <v>0</v>
      </c>
      <c r="F15" s="129" t="inlineStr">
        <is>
          <t>—</t>
        </is>
      </c>
    </row>
    <row r="16" ht="20" customHeight="1" s="92">
      <c r="A16" s="129" t="inlineStr">
        <is>
          <t>3.2</t>
        </is>
      </c>
      <c r="B16" s="129" t="inlineStr">
        <is>
          <t>Ürün Sevkiyatı</t>
        </is>
      </c>
      <c r="C16" s="129" t="n">
        <v>0</v>
      </c>
      <c r="D16" s="129" t="n">
        <v>0</v>
      </c>
      <c r="E16" s="129" t="n">
        <v>0</v>
      </c>
      <c r="F16" s="129" t="inlineStr">
        <is>
          <t>—</t>
        </is>
      </c>
    </row>
    <row r="17" ht="20" customHeight="1" s="92">
      <c r="A17" s="129" t="inlineStr">
        <is>
          <t>3.3</t>
        </is>
      </c>
      <c r="B17" s="129" t="inlineStr">
        <is>
          <t>Personel Ulaşım</t>
        </is>
      </c>
      <c r="C17" s="129" t="n">
        <v>143.64</v>
      </c>
      <c r="D17" s="129" t="n">
        <v>176.4877</v>
      </c>
      <c r="E17" s="129" t="n">
        <v>151.9367</v>
      </c>
      <c r="F17" s="129" t="inlineStr">
        <is>
          <t>-13.9%</t>
        </is>
      </c>
    </row>
    <row r="18" ht="20" customHeight="1" s="92">
      <c r="A18" s="129" t="inlineStr">
        <is>
          <t>3.4</t>
        </is>
      </c>
      <c r="B18" s="129" t="inlineStr">
        <is>
          <t>İş Seyahati - Karayolu</t>
        </is>
      </c>
      <c r="C18" s="129" t="n">
        <v>0</v>
      </c>
      <c r="D18" s="129" t="n">
        <v>0</v>
      </c>
      <c r="E18" s="129" t="n">
        <v>0</v>
      </c>
      <c r="F18" s="129" t="inlineStr">
        <is>
          <t>—</t>
        </is>
      </c>
    </row>
    <row r="19" ht="20" customHeight="1" s="92">
      <c r="A19" s="129" t="inlineStr">
        <is>
          <t>3.5</t>
        </is>
      </c>
      <c r="B19" s="129" t="inlineStr">
        <is>
          <t>Uçak &amp; Konaklama</t>
        </is>
      </c>
      <c r="C19" s="129" t="n">
        <v>0.0616</v>
      </c>
      <c r="D19" s="129" t="n">
        <v>0.09089999999999999</v>
      </c>
      <c r="E19" s="129" t="n">
        <v>0.077</v>
      </c>
      <c r="F19" s="129" t="inlineStr">
        <is>
          <t>-15.3%</t>
        </is>
      </c>
    </row>
    <row r="20" ht="20" customHeight="1" s="92">
      <c r="A20" s="129" t="inlineStr">
        <is>
          <t>4.1</t>
        </is>
      </c>
      <c r="B20" s="129" t="inlineStr">
        <is>
          <t>Satın Alınan Malzemeler</t>
        </is>
      </c>
      <c r="C20" s="129" t="n">
        <v>575.2265</v>
      </c>
      <c r="D20" s="129" t="n">
        <v>754.2401</v>
      </c>
      <c r="E20" s="129" t="n">
        <v>0</v>
      </c>
      <c r="F20" s="129" t="inlineStr">
        <is>
          <t>-100.0%</t>
        </is>
      </c>
    </row>
    <row r="21" ht="20" customHeight="1" s="92">
      <c r="A21" s="129" t="inlineStr">
        <is>
          <t>4.2</t>
        </is>
      </c>
      <c r="B21" s="129" t="inlineStr">
        <is>
          <t>Sermaye Varlıkları</t>
        </is>
      </c>
      <c r="C21" s="129" t="n">
        <v>680.1002</v>
      </c>
      <c r="D21" s="129" t="n">
        <v>258.1617</v>
      </c>
      <c r="E21" s="129" t="n">
        <v>0</v>
      </c>
      <c r="F21" s="129" t="inlineStr">
        <is>
          <t>-100.0%</t>
        </is>
      </c>
    </row>
    <row r="22" ht="20" customHeight="1" s="92">
      <c r="A22" s="129" t="inlineStr">
        <is>
          <t>4.3</t>
        </is>
      </c>
      <c r="B22" s="129" t="inlineStr">
        <is>
          <t>Atık Bertarafı</t>
        </is>
      </c>
      <c r="C22" s="129" t="n">
        <v>0.2114</v>
      </c>
      <c r="D22" s="129" t="n">
        <v>1.1708</v>
      </c>
      <c r="E22" s="129" t="n">
        <v>0</v>
      </c>
      <c r="F22" s="129" t="inlineStr">
        <is>
          <t>-100.0%</t>
        </is>
      </c>
    </row>
    <row r="23" ht="20" customHeight="1" s="92">
      <c r="A23" s="129" t="inlineStr">
        <is>
          <t>4.4</t>
        </is>
      </c>
      <c r="B23" s="129" t="inlineStr">
        <is>
          <t>Kiralanan Ekipmanlar</t>
        </is>
      </c>
      <c r="C23" s="129" t="n">
        <v>0</v>
      </c>
      <c r="D23" s="129" t="n">
        <v>0.0351</v>
      </c>
      <c r="E23" s="129" t="n">
        <v>0</v>
      </c>
      <c r="F23" s="129" t="inlineStr">
        <is>
          <t>-100.0%</t>
        </is>
      </c>
    </row>
    <row r="24" ht="20" customHeight="1" s="92">
      <c r="A24" s="129" t="inlineStr">
        <is>
          <t>4.5</t>
        </is>
      </c>
      <c r="B24" s="129" t="inlineStr">
        <is>
          <t>Hizmet Alımları</t>
        </is>
      </c>
      <c r="C24" s="129" t="n">
        <v>55.3178</v>
      </c>
      <c r="D24" s="129" t="n">
        <v>4515.89</v>
      </c>
      <c r="E24" s="129" t="n">
        <v>0</v>
      </c>
      <c r="F24" s="129" t="inlineStr">
        <is>
          <t>-100.0%</t>
        </is>
      </c>
    </row>
    <row r="25" ht="20" customHeight="1" s="92">
      <c r="A25" s="129" t="inlineStr">
        <is>
          <t>6.1</t>
        </is>
      </c>
      <c r="B25" s="129" t="inlineStr">
        <is>
          <t>T&amp;D Kayıpları</t>
        </is>
      </c>
      <c r="C25" s="129" t="n">
        <v>0</v>
      </c>
      <c r="D25" s="129" t="n">
        <v>0</v>
      </c>
      <c r="E25" s="129" t="n">
        <v>0</v>
      </c>
      <c r="F25" s="129" t="inlineStr">
        <is>
          <t>—</t>
        </is>
      </c>
    </row>
    <row r="26" ht="20" customHeight="1" s="92">
      <c r="A26" s="130" t="inlineStr">
        <is>
          <t>Kapsam 3 Top.</t>
        </is>
      </c>
      <c r="B26" s="130" t="inlineStr">
        <is>
          <t>Toplam Kapsam 3</t>
        </is>
      </c>
      <c r="C26" s="129" t="n">
        <v>1454.5574</v>
      </c>
      <c r="D26" s="129" t="n">
        <v>5706.0763</v>
      </c>
      <c r="E26" s="129" t="n">
        <v>152.0136</v>
      </c>
      <c r="F26" s="130" t="inlineStr">
        <is>
          <t>-97.3%</t>
        </is>
      </c>
    </row>
    <row r="27" ht="20.1" customHeight="1" s="92">
      <c r="A27" s="15" t="n"/>
      <c r="B27" s="15" t="n"/>
      <c r="C27" s="15" t="n"/>
      <c r="D27" s="15" t="n"/>
      <c r="E27" s="15" t="n"/>
      <c r="F27" s="15" t="n"/>
    </row>
    <row r="28" ht="20" customHeight="1" s="92">
      <c r="A28" s="128" t="inlineStr">
        <is>
          <t>GENEL TOPLAM</t>
        </is>
      </c>
      <c r="B28" s="128" t="inlineStr">
        <is>
          <t>Kapsam 1 + 2 + 3</t>
        </is>
      </c>
      <c r="C28" s="129" t="n">
        <v>3148.4309</v>
      </c>
      <c r="D28" s="129" t="n">
        <v>6899.864</v>
      </c>
      <c r="E28" s="129" t="n">
        <v>1614.3108</v>
      </c>
      <c r="F28" s="128" t="inlineStr">
        <is>
          <t>-76.6%</t>
        </is>
      </c>
    </row>
    <row r="31" ht="20" customHeight="1" s="92">
      <c r="A31" s="129" t="n"/>
      <c r="B31" s="129" t="inlineStr">
        <is>
          <t>← YOU FILL THESE (blue)</t>
        </is>
      </c>
      <c r="C31" s="129" t="n"/>
      <c r="D31" s="129" t="n"/>
      <c r="E31" s="129" t="n"/>
      <c r="F31" s="129" t="n"/>
    </row>
    <row r="32" ht="20" customHeight="1" s="92">
      <c r="A32" s="129" t="n"/>
      <c r="B32" s="129" t="inlineStr">
        <is>
          <t>← AUTO-FILLED FROM ONLINE — you can override (green)</t>
        </is>
      </c>
      <c r="C32" s="129" t="n"/>
      <c r="D32" s="129" t="n"/>
      <c r="E32" s="129" t="n"/>
      <c r="F32" s="129" t="n"/>
    </row>
    <row r="33" ht="20" customHeight="1" s="92">
      <c r="A33" s="129" t="n"/>
      <c r="B33" s="129" t="inlineStr">
        <is>
          <t>← DO NOT EDIT — calculated by system (grey)</t>
        </is>
      </c>
      <c r="C33" s="129" t="n"/>
      <c r="D33" s="129" t="n"/>
      <c r="E33" s="129" t="n"/>
      <c r="F33" s="129" t="n"/>
    </row>
    <row r="34" ht="20" customHeight="1" s="92">
      <c r="A34" s="129" t="n"/>
      <c r="B34" s="129" t="inlineStr">
        <is>
          <t>← TOTALS (yellow)</t>
        </is>
      </c>
      <c r="C34" s="129" t="n"/>
      <c r="D34" s="129" t="n"/>
      <c r="E34" s="129" t="n"/>
      <c r="F34" s="129" t="n"/>
    </row>
  </sheetData>
  <mergeCells count="2">
    <mergeCell ref="A2:F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:G1"/>
    </sheetView>
  </sheetViews>
  <sheetFormatPr baseColWidth="8" defaultRowHeight="15"/>
  <cols>
    <col width="8" customWidth="1" style="92" min="1" max="1"/>
    <col width="12" customWidth="1" style="92" min="2" max="2"/>
    <col width="14" customWidth="1" style="92" min="3" max="3"/>
    <col width="38" customWidth="1" style="92" min="4" max="4"/>
    <col width="16" customWidth="1" style="92" min="5" max="5"/>
    <col width="22" customWidth="1" style="92" min="6" max="6"/>
    <col width="16" customWidth="1" style="92" min="7" max="7"/>
  </cols>
  <sheetData>
    <row r="1" ht="22" customHeight="1" s="92">
      <c r="A1" s="124" t="inlineStr">
        <is>
          <t>ETKİ ANALİZİ — Toplam CO2e'nin %95'ini Oluşturan Kaynaklar</t>
        </is>
      </c>
    </row>
    <row r="2" ht="16" customHeight="1" s="92">
      <c r="A2" s="125" t="inlineStr">
        <is>
          <t>İmporter çalıştırıldığında otomatik hesaplanır. En büyük emisyon kaynaklarını öncelik sırasına göre gösterir.</t>
        </is>
      </c>
    </row>
    <row r="3" ht="24" customHeight="1" s="92">
      <c r="A3" s="126" t="inlineStr">
        <is>
          <t>Sıra</t>
        </is>
      </c>
      <c r="B3" s="126" t="inlineStr">
        <is>
          <t>Kapsam</t>
        </is>
      </c>
      <c r="C3" s="126" t="inlineStr">
        <is>
          <t>Kategori</t>
        </is>
      </c>
      <c r="D3" s="126" t="inlineStr">
        <is>
          <t>Emisyon Kaynağı</t>
        </is>
      </c>
      <c r="E3" s="126" t="inlineStr">
        <is>
          <t>CO2e (ton)</t>
        </is>
      </c>
      <c r="F3" s="126" t="inlineStr">
        <is>
          <t>Toplam İçindeki Pay (%)</t>
        </is>
      </c>
      <c r="G3" s="126" t="inlineStr">
        <is>
          <t>Kümülatif (%)</t>
        </is>
      </c>
    </row>
    <row r="4" ht="20" customHeight="1" s="92">
      <c r="A4" s="132" t="inlineStr">
        <is>
          <t>▲ %95 EŞİĞİ (2025) — Aşağıdaki kaynaklar Kapsam 3'ün %5'inden az</t>
        </is>
      </c>
      <c r="B4" s="134" t="n"/>
      <c r="C4" s="134" t="n"/>
      <c r="D4" s="134" t="n"/>
      <c r="E4" s="134" t="n"/>
      <c r="F4" s="134" t="n"/>
      <c r="G4" s="135" t="n"/>
    </row>
    <row r="5" ht="20" customHeight="1" s="92">
      <c r="A5" s="129" t="n">
        <v>2</v>
      </c>
      <c r="B5" s="129" t="inlineStr">
        <is>
          <t>Kapsam 3</t>
        </is>
      </c>
      <c r="C5" s="129" t="inlineStr">
        <is>
          <t>3.3</t>
        </is>
      </c>
      <c r="D5" s="129" t="inlineStr">
        <is>
          <t>Personel Ulaşım</t>
        </is>
      </c>
      <c r="E5" s="129" t="n">
        <v>151.9367</v>
      </c>
      <c r="F5" s="129" t="inlineStr">
        <is>
          <t>99.95%</t>
        </is>
      </c>
      <c r="G5" s="129" t="inlineStr">
        <is>
          <t>99.95%</t>
        </is>
      </c>
    </row>
    <row r="6" ht="20" customHeight="1" s="92">
      <c r="A6" s="129" t="n">
        <v>3</v>
      </c>
      <c r="B6" s="129" t="inlineStr">
        <is>
          <t>Kapsam 3</t>
        </is>
      </c>
      <c r="C6" s="129" t="inlineStr">
        <is>
          <t>3.5</t>
        </is>
      </c>
      <c r="D6" s="129" t="inlineStr">
        <is>
          <t>Uçak &amp; Konaklama</t>
        </is>
      </c>
      <c r="E6" s="129" t="n">
        <v>0.077</v>
      </c>
      <c r="F6" s="129" t="inlineStr">
        <is>
          <t>0.05%</t>
        </is>
      </c>
      <c r="G6" s="129" t="inlineStr">
        <is>
          <t>100.0%</t>
        </is>
      </c>
    </row>
    <row r="7" ht="20" customHeight="1" s="92">
      <c r="A7" s="129" t="n">
        <v>4</v>
      </c>
      <c r="B7" s="129" t="inlineStr">
        <is>
          <t>Kapsam 3</t>
        </is>
      </c>
      <c r="C7" s="129" t="inlineStr">
        <is>
          <t>3.1</t>
        </is>
      </c>
      <c r="D7" s="129" t="inlineStr">
        <is>
          <t>Hammadde Sevkiyatı</t>
        </is>
      </c>
      <c r="E7" s="129" t="n">
        <v>0</v>
      </c>
      <c r="F7" s="129" t="inlineStr">
        <is>
          <t>0.0%</t>
        </is>
      </c>
      <c r="G7" s="129" t="inlineStr">
        <is>
          <t>100.0%</t>
        </is>
      </c>
    </row>
    <row r="8" ht="20" customHeight="1" s="92">
      <c r="A8" s="129" t="n">
        <v>5</v>
      </c>
      <c r="B8" s="129" t="inlineStr">
        <is>
          <t>Kapsam 3</t>
        </is>
      </c>
      <c r="C8" s="129" t="inlineStr">
        <is>
          <t>3.2</t>
        </is>
      </c>
      <c r="D8" s="129" t="inlineStr">
        <is>
          <t>Ürün Sevkiyatı</t>
        </is>
      </c>
      <c r="E8" s="129" t="n">
        <v>0</v>
      </c>
      <c r="F8" s="129" t="inlineStr">
        <is>
          <t>0.0%</t>
        </is>
      </c>
      <c r="G8" s="129" t="inlineStr">
        <is>
          <t>100.0%</t>
        </is>
      </c>
    </row>
    <row r="9" ht="20" customHeight="1" s="92">
      <c r="A9" s="129" t="n">
        <v>6</v>
      </c>
      <c r="B9" s="129" t="inlineStr">
        <is>
          <t>Kapsam 3</t>
        </is>
      </c>
      <c r="C9" s="129" t="inlineStr">
        <is>
          <t>3.4</t>
        </is>
      </c>
      <c r="D9" s="129" t="inlineStr">
        <is>
          <t>İş Seyahati - Karayolu</t>
        </is>
      </c>
      <c r="E9" s="129" t="n">
        <v>0</v>
      </c>
      <c r="F9" s="129" t="inlineStr">
        <is>
          <t>0.0%</t>
        </is>
      </c>
      <c r="G9" s="129" t="inlineStr">
        <is>
          <t>100.0%</t>
        </is>
      </c>
    </row>
    <row r="10">
      <c r="A10" s="129" t="n">
        <v>7</v>
      </c>
      <c r="B10" s="129" t="inlineStr">
        <is>
          <t>Kapsam 3</t>
        </is>
      </c>
      <c r="C10" s="129" t="inlineStr">
        <is>
          <t>4.1</t>
        </is>
      </c>
      <c r="D10" s="129" t="inlineStr">
        <is>
          <t>Satın Alınan Malzemeler</t>
        </is>
      </c>
      <c r="E10" s="129" t="n">
        <v>0</v>
      </c>
      <c r="F10" s="129" t="inlineStr">
        <is>
          <t>0.0%</t>
        </is>
      </c>
      <c r="G10" s="129" t="inlineStr">
        <is>
          <t>100.0%</t>
        </is>
      </c>
    </row>
    <row r="11">
      <c r="A11" s="129" t="n">
        <v>8</v>
      </c>
      <c r="B11" s="129" t="inlineStr">
        <is>
          <t>Kapsam 3</t>
        </is>
      </c>
      <c r="C11" s="129" t="inlineStr">
        <is>
          <t>4.2</t>
        </is>
      </c>
      <c r="D11" s="129" t="inlineStr">
        <is>
          <t>Sermaye Varlıkları</t>
        </is>
      </c>
      <c r="E11" s="129" t="n">
        <v>0</v>
      </c>
      <c r="F11" s="129" t="inlineStr">
        <is>
          <t>0.0%</t>
        </is>
      </c>
      <c r="G11" s="129" t="inlineStr">
        <is>
          <t>100.0%</t>
        </is>
      </c>
    </row>
    <row r="12" ht="20.1" customHeight="1" s="92">
      <c r="A12" s="129" t="n">
        <v>9</v>
      </c>
      <c r="B12" s="129" t="inlineStr">
        <is>
          <t>Kapsam 3</t>
        </is>
      </c>
      <c r="C12" s="129" t="inlineStr">
        <is>
          <t>4.3</t>
        </is>
      </c>
      <c r="D12" s="129" t="inlineStr">
        <is>
          <t>Atık Bertarafı</t>
        </is>
      </c>
      <c r="E12" s="129" t="n">
        <v>0</v>
      </c>
      <c r="F12" s="129" t="inlineStr">
        <is>
          <t>0.0%</t>
        </is>
      </c>
      <c r="G12" s="129" t="inlineStr">
        <is>
          <t>100.0%</t>
        </is>
      </c>
    </row>
    <row r="13" ht="15" customHeight="1" s="92">
      <c r="A13" s="129" t="n">
        <v>10</v>
      </c>
      <c r="B13" s="129" t="inlineStr">
        <is>
          <t>Kapsam 3</t>
        </is>
      </c>
      <c r="C13" s="129" t="inlineStr">
        <is>
          <t>4.4</t>
        </is>
      </c>
      <c r="D13" s="129" t="inlineStr">
        <is>
          <t>Kiralanan Ekipmanlar</t>
        </is>
      </c>
      <c r="E13" s="129" t="n">
        <v>0</v>
      </c>
      <c r="F13" s="129" t="inlineStr">
        <is>
          <t>0.0%</t>
        </is>
      </c>
      <c r="G13" s="129" t="inlineStr">
        <is>
          <t>100.0%</t>
        </is>
      </c>
    </row>
    <row r="14" ht="15" customHeight="1" s="92">
      <c r="A14" s="129" t="n">
        <v>11</v>
      </c>
      <c r="B14" s="129" t="inlineStr">
        <is>
          <t>Kapsam 3</t>
        </is>
      </c>
      <c r="C14" s="129" t="inlineStr">
        <is>
          <t>4.5</t>
        </is>
      </c>
      <c r="D14" s="129" t="inlineStr">
        <is>
          <t>Hizmet Alımları</t>
        </is>
      </c>
      <c r="E14" s="129" t="n">
        <v>0</v>
      </c>
      <c r="F14" s="129" t="inlineStr">
        <is>
          <t>0.0%</t>
        </is>
      </c>
      <c r="G14" s="129" t="inlineStr">
        <is>
          <t>100.0%</t>
        </is>
      </c>
    </row>
    <row r="15" ht="15" customHeight="1" s="92">
      <c r="A15" s="129" t="n">
        <v>12</v>
      </c>
      <c r="B15" s="129" t="inlineStr">
        <is>
          <t>Kapsam 3</t>
        </is>
      </c>
      <c r="C15" s="129" t="inlineStr">
        <is>
          <t>6.1</t>
        </is>
      </c>
      <c r="D15" s="129" t="inlineStr">
        <is>
          <t>T&amp;D Kayıpları</t>
        </is>
      </c>
      <c r="E15" s="129" t="n">
        <v>0</v>
      </c>
      <c r="F15" s="129" t="inlineStr">
        <is>
          <t>0.0%</t>
        </is>
      </c>
      <c r="G15" s="129" t="inlineStr">
        <is>
          <t>100.0%</t>
        </is>
      </c>
    </row>
    <row r="16" ht="15" customHeight="1" s="92">
      <c r="A16" s="136" t="n"/>
      <c r="B16" s="137" t="n"/>
      <c r="C16" s="137" t="n"/>
      <c r="D16" s="137" t="n"/>
      <c r="E16" s="137" t="n"/>
      <c r="F16" s="137" t="n"/>
      <c r="G16" s="137" t="n"/>
    </row>
    <row r="17" ht="15" customHeight="1" s="92">
      <c r="A17" s="136" t="n"/>
      <c r="B17" s="137" t="n"/>
      <c r="C17" s="137" t="n"/>
      <c r="D17" s="137" t="n"/>
      <c r="E17" s="137" t="n"/>
      <c r="F17" s="137" t="n"/>
      <c r="G17" s="137" t="n"/>
    </row>
    <row r="18">
      <c r="A18" s="137" t="n"/>
      <c r="B18" s="137" t="n"/>
      <c r="C18" s="137" t="n"/>
      <c r="D18" s="137" t="n"/>
      <c r="E18" s="137" t="n"/>
      <c r="F18" s="137" t="n"/>
      <c r="G18" s="137" t="n"/>
    </row>
    <row r="19">
      <c r="A19" s="137" t="n"/>
      <c r="B19" s="137" t="n"/>
      <c r="C19" s="137" t="n"/>
      <c r="D19" s="137" t="n"/>
      <c r="E19" s="137" t="n"/>
      <c r="F19" s="137" t="n"/>
      <c r="G19" s="137" t="n"/>
    </row>
    <row r="20">
      <c r="A20" s="137" t="n"/>
      <c r="B20" s="137" t="n"/>
      <c r="C20" s="137" t="n"/>
      <c r="D20" s="137" t="n"/>
      <c r="E20" s="137" t="n"/>
      <c r="F20" s="137" t="n"/>
      <c r="G20" s="137" t="n"/>
    </row>
    <row r="21">
      <c r="A21" s="137" t="n"/>
      <c r="B21" s="137" t="n"/>
      <c r="C21" s="137" t="n"/>
      <c r="D21" s="137" t="n"/>
      <c r="E21" s="137" t="n"/>
      <c r="F21" s="137" t="n"/>
      <c r="G21" s="137" t="n"/>
    </row>
    <row r="22">
      <c r="A22" s="137" t="n"/>
      <c r="B22" s="137" t="n"/>
      <c r="C22" s="137" t="n"/>
      <c r="D22" s="137" t="n"/>
      <c r="E22" s="137" t="n"/>
      <c r="F22" s="137" t="n"/>
      <c r="G22" s="137" t="n"/>
    </row>
    <row r="23">
      <c r="A23" s="137" t="n"/>
      <c r="B23" s="137" t="n"/>
      <c r="C23" s="137" t="n"/>
      <c r="D23" s="137" t="n"/>
      <c r="E23" s="137" t="n"/>
      <c r="F23" s="137" t="n"/>
      <c r="G23" s="137" t="n"/>
    </row>
    <row r="24">
      <c r="A24" s="137" t="n"/>
      <c r="B24" s="137" t="n"/>
      <c r="C24" s="137" t="n"/>
      <c r="D24" s="137" t="n"/>
      <c r="E24" s="137" t="n"/>
      <c r="F24" s="137" t="n"/>
      <c r="G24" s="137" t="n"/>
    </row>
    <row r="25">
      <c r="A25" s="137" t="n"/>
      <c r="B25" s="137" t="n"/>
      <c r="C25" s="137" t="n"/>
      <c r="D25" s="137" t="n"/>
      <c r="E25" s="137" t="n"/>
      <c r="F25" s="137" t="n"/>
      <c r="G25" s="137" t="n"/>
    </row>
    <row r="26">
      <c r="A26" s="137" t="n"/>
      <c r="B26" s="137" t="n"/>
      <c r="C26" s="137" t="n"/>
      <c r="D26" s="137" t="n"/>
      <c r="E26" s="137" t="n"/>
      <c r="F26" s="137" t="n"/>
      <c r="G26" s="137" t="n"/>
    </row>
    <row r="27">
      <c r="A27" s="137" t="n"/>
      <c r="B27" s="137" t="n"/>
      <c r="C27" s="137" t="n"/>
      <c r="D27" s="137" t="n"/>
      <c r="E27" s="137" t="n"/>
      <c r="F27" s="137" t="n"/>
      <c r="G27" s="137" t="n"/>
    </row>
    <row r="28">
      <c r="A28" s="137" t="n"/>
      <c r="B28" s="137" t="n"/>
      <c r="C28" s="137" t="n"/>
      <c r="D28" s="137" t="n"/>
      <c r="E28" s="137" t="n"/>
      <c r="F28" s="137" t="n"/>
      <c r="G28" s="137" t="n"/>
    </row>
    <row r="29">
      <c r="A29" s="137" t="n"/>
      <c r="B29" s="137" t="n"/>
      <c r="C29" s="137" t="n"/>
      <c r="D29" s="137" t="n"/>
      <c r="E29" s="137" t="n"/>
      <c r="F29" s="137" t="n"/>
      <c r="G29" s="137" t="n"/>
    </row>
    <row r="30">
      <c r="A30" s="137" t="n"/>
      <c r="B30" s="137" t="n"/>
      <c r="C30" s="137" t="n"/>
      <c r="D30" s="137" t="n"/>
      <c r="E30" s="137" t="n"/>
      <c r="F30" s="137" t="n"/>
      <c r="G30" s="137" t="n"/>
    </row>
    <row r="31">
      <c r="A31" s="137" t="n"/>
      <c r="B31" s="137" t="n"/>
      <c r="C31" s="137" t="n"/>
      <c r="D31" s="137" t="n"/>
      <c r="E31" s="137" t="n"/>
      <c r="F31" s="137" t="n"/>
      <c r="G31" s="137" t="n"/>
    </row>
    <row r="32">
      <c r="A32" s="137" t="n"/>
      <c r="B32" s="137" t="n"/>
      <c r="C32" s="137" t="n"/>
      <c r="D32" s="137" t="n"/>
      <c r="E32" s="137" t="n"/>
      <c r="F32" s="137" t="n"/>
      <c r="G32" s="137" t="n"/>
    </row>
    <row r="33">
      <c r="A33" s="137" t="n"/>
      <c r="B33" s="137" t="n"/>
      <c r="C33" s="137" t="n"/>
      <c r="D33" s="137" t="n"/>
      <c r="E33" s="137" t="n"/>
      <c r="F33" s="137" t="n"/>
      <c r="G33" s="137" t="n"/>
    </row>
    <row r="34">
      <c r="A34" s="137" t="n"/>
      <c r="B34" s="137" t="n"/>
      <c r="C34" s="137" t="n"/>
      <c r="D34" s="137" t="n"/>
      <c r="E34" s="137" t="n"/>
      <c r="F34" s="137" t="n"/>
      <c r="G34" s="137" t="n"/>
    </row>
    <row r="35">
      <c r="A35" s="137" t="n"/>
      <c r="B35" s="137" t="n"/>
      <c r="C35" s="137" t="n"/>
      <c r="D35" s="137" t="n"/>
      <c r="E35" s="137" t="n"/>
      <c r="F35" s="137" t="n"/>
      <c r="G35" s="137" t="n"/>
    </row>
    <row r="36">
      <c r="A36" s="137" t="n"/>
      <c r="B36" s="137" t="n"/>
      <c r="C36" s="137" t="n"/>
      <c r="D36" s="137" t="n"/>
      <c r="E36" s="137" t="n"/>
      <c r="F36" s="137" t="n"/>
      <c r="G36" s="137" t="n"/>
    </row>
    <row r="37">
      <c r="A37" s="137" t="n"/>
      <c r="B37" s="137" t="n"/>
      <c r="C37" s="137" t="n"/>
      <c r="D37" s="137" t="n"/>
      <c r="E37" s="137" t="n"/>
      <c r="F37" s="137" t="n"/>
      <c r="G37" s="137" t="n"/>
    </row>
    <row r="38">
      <c r="A38" s="137" t="n"/>
      <c r="B38" s="137" t="n"/>
      <c r="C38" s="137" t="n"/>
      <c r="D38" s="137" t="n"/>
      <c r="E38" s="137" t="n"/>
      <c r="F38" s="137" t="n"/>
      <c r="G38" s="137" t="n"/>
    </row>
    <row r="39">
      <c r="A39" s="137" t="n"/>
      <c r="B39" s="137" t="n"/>
      <c r="C39" s="137" t="n"/>
      <c r="D39" s="137" t="n"/>
      <c r="E39" s="137" t="n"/>
      <c r="F39" s="137" t="n"/>
      <c r="G39" s="137" t="n"/>
    </row>
    <row r="40">
      <c r="A40" s="137" t="n"/>
      <c r="B40" s="137" t="n"/>
      <c r="C40" s="137" t="n"/>
      <c r="D40" s="137" t="n"/>
      <c r="E40" s="137" t="n"/>
      <c r="F40" s="137" t="n"/>
      <c r="G40" s="137" t="n"/>
    </row>
  </sheetData>
  <mergeCells count="1">
    <mergeCell ref="A4:G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tabSelected="1" workbookViewId="0">
      <selection activeCell="D6" sqref="D6"/>
    </sheetView>
  </sheetViews>
  <sheetFormatPr baseColWidth="8" defaultRowHeight="15"/>
  <cols>
    <col width="8" customWidth="1" style="92" min="1" max="1"/>
    <col width="30" customWidth="1" style="92" min="2" max="2"/>
    <col width="16" customWidth="1" style="92" min="3" max="3"/>
    <col width="18" customWidth="1" style="92" min="4" max="4"/>
    <col width="16" customWidth="1" style="92" min="5" max="7"/>
    <col width="18" customWidth="1" style="92" min="8" max="8"/>
  </cols>
  <sheetData>
    <row r="1" ht="22" customHeight="1" s="92">
      <c r="A1" s="124" t="inlineStr">
        <is>
          <t>KİŞİ BAŞINA EMİSYON — Lokasyon Bazında ton CO2e / Kişi</t>
        </is>
      </c>
    </row>
    <row r="2" ht="16" customHeight="1" s="92">
      <c r="A2" s="125" t="inlineStr">
        <is>
          <t>PERSONNEL sayfasındaki lokasyon verileri kullanılarak importer tarafından otomatik hesaplanır.</t>
        </is>
      </c>
      <c r="H2" s="125" t="n"/>
    </row>
    <row r="3" ht="24" customHeight="1" s="92">
      <c r="A3" s="126" t="inlineStr">
        <is>
          <t>Yıl</t>
        </is>
      </c>
      <c r="B3" s="126" t="inlineStr">
        <is>
          <t>Lokasyon</t>
        </is>
      </c>
      <c r="C3" s="126" t="inlineStr">
        <is>
          <t>Personel Sayısı</t>
        </is>
      </c>
      <c r="D3" s="126" t="inlineStr">
        <is>
          <t>Toplam CO2e (ton)</t>
        </is>
      </c>
      <c r="E3" s="126" t="inlineStr">
        <is>
          <t>Kapsam 1 CO2e</t>
        </is>
      </c>
      <c r="F3" s="126" t="inlineStr">
        <is>
          <t>Kapsam 2 CO2e</t>
        </is>
      </c>
      <c r="G3" s="126" t="inlineStr">
        <is>
          <t>Kapsam 3 CO2e</t>
        </is>
      </c>
      <c r="H3" s="126" t="inlineStr">
        <is>
          <t>ton CO2e / Kişi</t>
        </is>
      </c>
    </row>
    <row r="4" ht="20" customHeight="1" s="92">
      <c r="A4" s="127" t="n">
        <v>2023</v>
      </c>
      <c r="B4" s="127" t="inlineStr">
        <is>
          <t>Genel Müdürlük</t>
        </is>
      </c>
      <c r="C4" s="127" t="n">
        <v>702</v>
      </c>
      <c r="D4" s="127" t="n">
        <v>3148.4309</v>
      </c>
      <c r="E4" s="127" t="n">
        <v>1252.7</v>
      </c>
      <c r="F4" s="127" t="n">
        <v>441.1735</v>
      </c>
      <c r="G4" s="127" t="n">
        <v>1454.5574</v>
      </c>
      <c r="H4" s="127" t="n">
        <v>4.484944</v>
      </c>
    </row>
    <row r="5" ht="20" customHeight="1" s="92">
      <c r="A5" s="130" t="n">
        <v>2023</v>
      </c>
      <c r="B5" s="130" t="inlineStr">
        <is>
          <t>ŞİRKET TOPLAMI (2023)</t>
        </is>
      </c>
      <c r="C5" s="130" t="n">
        <v>702</v>
      </c>
      <c r="D5" s="130" t="n">
        <v>3148.4309</v>
      </c>
      <c r="E5" s="130" t="n">
        <v>1252.7</v>
      </c>
      <c r="F5" s="130" t="n">
        <v>441.1735</v>
      </c>
      <c r="G5" s="130" t="n">
        <v>1454.5574</v>
      </c>
      <c r="H5" s="130" t="n">
        <v>4.484944</v>
      </c>
    </row>
    <row r="6" ht="20" customHeight="1" s="92">
      <c r="A6" s="138" t="n"/>
      <c r="B6" s="138" t="n"/>
      <c r="C6" s="138" t="n"/>
      <c r="D6" s="138" t="n"/>
      <c r="E6" s="138" t="n"/>
      <c r="F6" s="138" t="n"/>
      <c r="G6" s="138" t="n"/>
      <c r="H6" s="138" t="n"/>
    </row>
    <row r="7" ht="20" customHeight="1" s="92">
      <c r="A7" s="127" t="n">
        <v>2024</v>
      </c>
      <c r="B7" s="127" t="inlineStr">
        <is>
          <t>Genel Müdürlük</t>
        </is>
      </c>
      <c r="C7" s="127" t="n">
        <v>774</v>
      </c>
      <c r="D7" s="127" t="n">
        <v>6899.864</v>
      </c>
      <c r="E7" s="127" t="n">
        <v>739.5309999999999</v>
      </c>
      <c r="F7" s="127" t="n">
        <v>454.2567</v>
      </c>
      <c r="G7" s="127" t="n">
        <v>5706.0763</v>
      </c>
      <c r="H7" s="127" t="n">
        <v>8.914553</v>
      </c>
    </row>
    <row r="8" ht="20" customHeight="1" s="92">
      <c r="A8" s="130" t="n">
        <v>2024</v>
      </c>
      <c r="B8" s="130" t="inlineStr">
        <is>
          <t>ŞİRKET TOPLAMI (2024)</t>
        </is>
      </c>
      <c r="C8" s="130" t="n">
        <v>774</v>
      </c>
      <c r="D8" s="130" t="n">
        <v>6899.864</v>
      </c>
      <c r="E8" s="130" t="n">
        <v>739.5309999999999</v>
      </c>
      <c r="F8" s="130" t="n">
        <v>454.2567</v>
      </c>
      <c r="G8" s="130" t="n">
        <v>5706.0763</v>
      </c>
      <c r="H8" s="130" t="n">
        <v>8.914553</v>
      </c>
    </row>
    <row r="9">
      <c r="A9" s="137" t="n"/>
      <c r="B9" s="137" t="n"/>
      <c r="C9" s="137" t="n"/>
      <c r="D9" s="137" t="n"/>
      <c r="E9" s="137" t="n"/>
      <c r="F9" s="137" t="n"/>
      <c r="G9" s="137" t="n"/>
      <c r="H9" s="137" t="n"/>
    </row>
    <row r="10" ht="20" customHeight="1" s="92">
      <c r="A10" s="127" t="n">
        <v>2025</v>
      </c>
      <c r="B10" s="127" t="inlineStr">
        <is>
          <t>Genel Müdürlük</t>
        </is>
      </c>
      <c r="C10" s="127" t="n">
        <v>756</v>
      </c>
      <c r="D10" s="127" t="n">
        <v>1614.3108</v>
      </c>
      <c r="E10" s="127" t="n">
        <v>798.0806</v>
      </c>
      <c r="F10" s="127" t="n">
        <v>664.2166</v>
      </c>
      <c r="G10" s="127" t="n">
        <v>152.0136</v>
      </c>
      <c r="H10" s="127" t="n">
        <v>2.135332</v>
      </c>
    </row>
    <row r="11" ht="20" customHeight="1" s="92">
      <c r="A11" s="130" t="n">
        <v>2025</v>
      </c>
      <c r="B11" s="130" t="inlineStr">
        <is>
          <t>ŞİRKET TOPLAMI (2025)</t>
        </is>
      </c>
      <c r="C11" s="130" t="n">
        <v>756</v>
      </c>
      <c r="D11" s="130" t="n">
        <v>1614.3108</v>
      </c>
      <c r="E11" s="130" t="n">
        <v>798.0806</v>
      </c>
      <c r="F11" s="130" t="n">
        <v>664.2166</v>
      </c>
      <c r="G11" s="130" t="n">
        <v>152.0136</v>
      </c>
      <c r="H11" s="130" t="n">
        <v>2.135332</v>
      </c>
    </row>
    <row r="12" ht="15" customHeight="1" s="92">
      <c r="A12" s="136" t="n"/>
      <c r="B12" s="137" t="n"/>
      <c r="C12" s="137" t="n"/>
      <c r="D12" s="137" t="n"/>
      <c r="E12" s="137" t="n"/>
      <c r="F12" s="137" t="n"/>
      <c r="G12" s="137" t="n"/>
      <c r="H12" s="137" t="n"/>
    </row>
    <row r="13" ht="15" customHeight="1" s="92">
      <c r="A13" s="136" t="n"/>
      <c r="B13" s="137" t="n"/>
      <c r="C13" s="137" t="n"/>
      <c r="D13" s="137" t="n"/>
      <c r="E13" s="137" t="n"/>
      <c r="F13" s="137" t="n"/>
      <c r="G13" s="137" t="n"/>
      <c r="H13" s="137" t="n"/>
    </row>
    <row r="14" ht="15" customHeight="1" s="92">
      <c r="A14" s="136" t="n"/>
      <c r="B14" s="137" t="n"/>
      <c r="C14" s="137" t="n"/>
      <c r="D14" s="137" t="n"/>
      <c r="E14" s="137" t="n"/>
      <c r="F14" s="137" t="n"/>
      <c r="G14" s="137" t="n"/>
      <c r="H14" s="137" t="n"/>
    </row>
    <row r="15" ht="15" customHeight="1" s="92">
      <c r="A15" s="136" t="n"/>
      <c r="B15" s="137" t="n"/>
      <c r="C15" s="137" t="n"/>
      <c r="D15" s="137" t="n"/>
      <c r="E15" s="137" t="n"/>
      <c r="F15" s="137" t="n"/>
      <c r="G15" s="137" t="n"/>
      <c r="H15" s="137" t="n"/>
    </row>
    <row r="16">
      <c r="A16" s="137" t="n"/>
      <c r="B16" s="137" t="n"/>
      <c r="C16" s="137" t="n"/>
      <c r="D16" s="137" t="n"/>
      <c r="E16" s="137" t="n"/>
      <c r="F16" s="137" t="n"/>
      <c r="G16" s="137" t="n"/>
      <c r="H16" s="137" t="n"/>
    </row>
    <row r="17" ht="15.95" customHeight="1" s="92">
      <c r="A17" s="139" t="n"/>
      <c r="B17" s="140" t="n"/>
      <c r="C17" s="137" t="n"/>
      <c r="D17" s="137" t="n"/>
      <c r="E17" s="137" t="n"/>
      <c r="F17" s="137" t="n"/>
      <c r="G17" s="137" t="n"/>
      <c r="H17" s="137" t="n"/>
    </row>
    <row r="18" ht="15.95" customHeight="1" s="92">
      <c r="A18" s="139" t="n"/>
      <c r="B18" s="141" t="n"/>
      <c r="C18" s="137" t="n"/>
      <c r="D18" s="137" t="n"/>
      <c r="E18" s="137" t="n"/>
      <c r="F18" s="137" t="n"/>
      <c r="G18" s="137" t="n"/>
      <c r="H18" s="137" t="n"/>
    </row>
    <row r="19" ht="15.95" customHeight="1" s="92">
      <c r="A19" s="139" t="n"/>
      <c r="B19" s="142" t="n"/>
      <c r="C19" s="137" t="n"/>
      <c r="D19" s="137" t="n"/>
      <c r="E19" s="137" t="n"/>
      <c r="F19" s="137" t="n"/>
      <c r="G19" s="137" t="n"/>
      <c r="H19" s="137" t="n"/>
    </row>
    <row r="20" ht="15.95" customHeight="1" s="92">
      <c r="A20" s="139" t="n"/>
      <c r="B20" s="143" t="n"/>
      <c r="C20" s="137" t="n"/>
      <c r="D20" s="137" t="n"/>
      <c r="E20" s="137" t="n"/>
      <c r="F20" s="137" t="n"/>
      <c r="G20" s="137" t="n"/>
      <c r="H20" s="137" t="n"/>
    </row>
    <row r="21">
      <c r="A21" s="137" t="n"/>
      <c r="B21" s="137" t="n"/>
      <c r="C21" s="137" t="n"/>
      <c r="D21" s="137" t="n"/>
      <c r="E21" s="137" t="n"/>
      <c r="F21" s="137" t="n"/>
      <c r="G21" s="137" t="n"/>
      <c r="H21" s="137" t="n"/>
    </row>
    <row r="22">
      <c r="A22" s="137" t="n"/>
      <c r="B22" s="137" t="n"/>
      <c r="C22" s="137" t="n"/>
      <c r="D22" s="137" t="n"/>
      <c r="E22" s="137" t="n"/>
      <c r="F22" s="137" t="n"/>
      <c r="G22" s="137" t="n"/>
      <c r="H22" s="137" t="n"/>
    </row>
    <row r="23">
      <c r="A23" s="137" t="n"/>
      <c r="B23" s="137" t="n"/>
      <c r="C23" s="137" t="n"/>
      <c r="D23" s="137" t="n"/>
      <c r="E23" s="137" t="n"/>
      <c r="F23" s="137" t="n"/>
      <c r="G23" s="137" t="n"/>
      <c r="H23" s="137" t="n"/>
    </row>
    <row r="24">
      <c r="A24" s="137" t="n"/>
      <c r="B24" s="137" t="n"/>
      <c r="C24" s="137" t="n"/>
      <c r="D24" s="137" t="n"/>
      <c r="E24" s="137" t="n"/>
      <c r="F24" s="137" t="n"/>
      <c r="G24" s="137" t="n"/>
      <c r="H24" s="137" t="n"/>
    </row>
    <row r="25">
      <c r="A25" s="137" t="n"/>
      <c r="B25" s="137" t="n"/>
      <c r="C25" s="137" t="n"/>
      <c r="D25" s="137" t="n"/>
      <c r="E25" s="137" t="n"/>
      <c r="F25" s="137" t="n"/>
      <c r="G25" s="137" t="n"/>
      <c r="H25" s="137" t="n"/>
    </row>
    <row r="26">
      <c r="A26" s="137" t="n"/>
      <c r="B26" s="137" t="n"/>
      <c r="C26" s="137" t="n"/>
      <c r="D26" s="137" t="n"/>
      <c r="E26" s="137" t="n"/>
      <c r="F26" s="137" t="n"/>
      <c r="G26" s="137" t="n"/>
      <c r="H26" s="137" t="n"/>
    </row>
    <row r="27">
      <c r="A27" s="137" t="n"/>
      <c r="B27" s="137" t="n"/>
      <c r="C27" s="137" t="n"/>
      <c r="D27" s="137" t="n"/>
      <c r="E27" s="137" t="n"/>
      <c r="F27" s="137" t="n"/>
      <c r="G27" s="137" t="n"/>
      <c r="H27" s="137" t="n"/>
    </row>
    <row r="28">
      <c r="A28" s="137" t="n"/>
      <c r="B28" s="137" t="n"/>
      <c r="C28" s="137" t="n"/>
      <c r="D28" s="137" t="n"/>
      <c r="E28" s="137" t="n"/>
      <c r="F28" s="137" t="n"/>
      <c r="G28" s="137" t="n"/>
      <c r="H28" s="137" t="n"/>
    </row>
    <row r="29">
      <c r="A29" s="137" t="n"/>
      <c r="B29" s="137" t="n"/>
      <c r="C29" s="137" t="n"/>
      <c r="D29" s="137" t="n"/>
      <c r="E29" s="137" t="n"/>
      <c r="F29" s="137" t="n"/>
      <c r="G29" s="137" t="n"/>
      <c r="H29" s="137" t="n"/>
    </row>
    <row r="30">
      <c r="A30" s="137" t="n"/>
      <c r="B30" s="137" t="n"/>
      <c r="C30" s="137" t="n"/>
      <c r="D30" s="137" t="n"/>
      <c r="E30" s="137" t="n"/>
      <c r="F30" s="137" t="n"/>
      <c r="G30" s="137" t="n"/>
      <c r="H30" s="137" t="n"/>
    </row>
    <row r="31">
      <c r="A31" s="137" t="n"/>
      <c r="B31" s="137" t="n"/>
      <c r="C31" s="137" t="n"/>
      <c r="D31" s="137" t="n"/>
      <c r="E31" s="137" t="n"/>
      <c r="F31" s="137" t="n"/>
      <c r="G31" s="137" t="n"/>
      <c r="H31" s="137" t="n"/>
    </row>
    <row r="32">
      <c r="A32" s="137" t="n"/>
      <c r="B32" s="137" t="n"/>
      <c r="C32" s="137" t="n"/>
      <c r="D32" s="137" t="n"/>
      <c r="E32" s="137" t="n"/>
      <c r="F32" s="137" t="n"/>
      <c r="G32" s="137" t="n"/>
      <c r="H32" s="137" t="n"/>
    </row>
    <row r="33">
      <c r="A33" s="137" t="n"/>
      <c r="B33" s="137" t="n"/>
      <c r="C33" s="137" t="n"/>
      <c r="D33" s="137" t="n"/>
      <c r="E33" s="137" t="n"/>
      <c r="F33" s="137" t="n"/>
      <c r="G33" s="137" t="n"/>
      <c r="H33" s="137" t="n"/>
    </row>
    <row r="34">
      <c r="A34" s="137" t="n"/>
      <c r="B34" s="137" t="n"/>
      <c r="C34" s="137" t="n"/>
      <c r="D34" s="137" t="n"/>
      <c r="E34" s="137" t="n"/>
      <c r="F34" s="137" t="n"/>
      <c r="G34" s="137" t="n"/>
      <c r="H34" s="137" t="n"/>
    </row>
    <row r="35">
      <c r="A35" s="137" t="n"/>
      <c r="B35" s="137" t="n"/>
      <c r="C35" s="137" t="n"/>
      <c r="D35" s="137" t="n"/>
      <c r="E35" s="137" t="n"/>
      <c r="F35" s="137" t="n"/>
      <c r="G35" s="137" t="n"/>
      <c r="H35" s="137" t="n"/>
    </row>
    <row r="36">
      <c r="A36" s="137" t="n"/>
      <c r="B36" s="137" t="n"/>
      <c r="C36" s="137" t="n"/>
      <c r="D36" s="137" t="n"/>
      <c r="E36" s="137" t="n"/>
      <c r="F36" s="137" t="n"/>
      <c r="G36" s="137" t="n"/>
      <c r="H36" s="137" t="n"/>
    </row>
    <row r="37">
      <c r="A37" s="137" t="n"/>
      <c r="B37" s="137" t="n"/>
      <c r="C37" s="137" t="n"/>
      <c r="D37" s="137" t="n"/>
      <c r="E37" s="137" t="n"/>
      <c r="F37" s="137" t="n"/>
      <c r="G37" s="137" t="n"/>
      <c r="H37" s="137" t="n"/>
    </row>
    <row r="38">
      <c r="A38" s="137" t="n"/>
      <c r="B38" s="137" t="n"/>
      <c r="C38" s="137" t="n"/>
      <c r="D38" s="137" t="n"/>
      <c r="E38" s="137" t="n"/>
      <c r="F38" s="137" t="n"/>
      <c r="G38" s="137" t="n"/>
      <c r="H38" s="137" t="n"/>
    </row>
    <row r="39">
      <c r="A39" s="137" t="n"/>
      <c r="B39" s="137" t="n"/>
      <c r="C39" s="137" t="n"/>
      <c r="D39" s="137" t="n"/>
      <c r="E39" s="137" t="n"/>
      <c r="F39" s="137" t="n"/>
      <c r="G39" s="137" t="n"/>
      <c r="H39" s="137" t="n"/>
    </row>
    <row r="40">
      <c r="A40" s="137" t="n"/>
      <c r="B40" s="137" t="n"/>
      <c r="C40" s="137" t="n"/>
      <c r="D40" s="137" t="n"/>
      <c r="E40" s="137" t="n"/>
      <c r="F40" s="137" t="n"/>
      <c r="G40" s="137" t="n"/>
      <c r="H40" s="137" t="n"/>
    </row>
    <row r="41">
      <c r="A41" s="137" t="n"/>
      <c r="B41" s="137" t="n"/>
      <c r="C41" s="137" t="n"/>
      <c r="D41" s="137" t="n"/>
      <c r="E41" s="137" t="n"/>
      <c r="F41" s="137" t="n"/>
      <c r="G41" s="137" t="n"/>
      <c r="H41" s="137" t="n"/>
    </row>
    <row r="42">
      <c r="A42" s="137" t="n"/>
      <c r="B42" s="137" t="n"/>
      <c r="C42" s="137" t="n"/>
      <c r="D42" s="137" t="n"/>
      <c r="E42" s="137" t="n"/>
      <c r="F42" s="137" t="n"/>
      <c r="G42" s="137" t="n"/>
      <c r="H42" s="137" t="n"/>
    </row>
    <row r="43">
      <c r="A43" s="137" t="n"/>
      <c r="B43" s="137" t="n"/>
      <c r="C43" s="137" t="n"/>
      <c r="D43" s="137" t="n"/>
      <c r="E43" s="137" t="n"/>
      <c r="F43" s="137" t="n"/>
      <c r="G43" s="137" t="n"/>
      <c r="H43" s="137" t="n"/>
    </row>
    <row r="44">
      <c r="A44" s="137" t="n"/>
      <c r="B44" s="137" t="n"/>
      <c r="C44" s="137" t="n"/>
      <c r="D44" s="137" t="n"/>
      <c r="E44" s="137" t="n"/>
      <c r="F44" s="137" t="n"/>
      <c r="G44" s="137" t="n"/>
      <c r="H44" s="137" t="n"/>
    </row>
    <row r="45">
      <c r="A45" s="137" t="n"/>
      <c r="B45" s="137" t="n"/>
      <c r="C45" s="137" t="n"/>
      <c r="D45" s="137" t="n"/>
      <c r="E45" s="137" t="n"/>
      <c r="F45" s="137" t="n"/>
      <c r="G45" s="137" t="n"/>
      <c r="H45" s="137" t="n"/>
    </row>
    <row r="46">
      <c r="A46" s="137" t="n"/>
      <c r="B46" s="137" t="n"/>
      <c r="C46" s="137" t="n"/>
      <c r="D46" s="137" t="n"/>
      <c r="E46" s="137" t="n"/>
      <c r="F46" s="137" t="n"/>
      <c r="G46" s="137" t="n"/>
      <c r="H46" s="137" t="n"/>
    </row>
    <row r="47">
      <c r="A47" s="137" t="n"/>
      <c r="B47" s="137" t="n"/>
      <c r="C47" s="137" t="n"/>
      <c r="D47" s="137" t="n"/>
      <c r="E47" s="137" t="n"/>
      <c r="F47" s="137" t="n"/>
      <c r="G47" s="137" t="n"/>
      <c r="H47" s="137" t="n"/>
    </row>
    <row r="48">
      <c r="A48" s="137" t="n"/>
      <c r="B48" s="137" t="n"/>
      <c r="C48" s="137" t="n"/>
      <c r="D48" s="137" t="n"/>
      <c r="E48" s="137" t="n"/>
      <c r="F48" s="137" t="n"/>
      <c r="G48" s="137" t="n"/>
      <c r="H48" s="137" t="n"/>
    </row>
    <row r="49">
      <c r="A49" s="137" t="n"/>
      <c r="B49" s="137" t="n"/>
      <c r="C49" s="137" t="n"/>
      <c r="D49" s="137" t="n"/>
      <c r="E49" s="137" t="n"/>
      <c r="F49" s="137" t="n"/>
      <c r="G49" s="137" t="n"/>
      <c r="H49" s="137" t="n"/>
    </row>
    <row r="50">
      <c r="A50" s="137" t="n"/>
      <c r="B50" s="137" t="n"/>
      <c r="C50" s="137" t="n"/>
      <c r="D50" s="137" t="n"/>
      <c r="E50" s="137" t="n"/>
      <c r="F50" s="137" t="n"/>
      <c r="G50" s="137" t="n"/>
      <c r="H50" s="137" t="n"/>
    </row>
    <row r="51">
      <c r="A51" s="137" t="n"/>
      <c r="B51" s="137" t="n"/>
      <c r="C51" s="137" t="n"/>
      <c r="D51" s="137" t="n"/>
      <c r="E51" s="137" t="n"/>
      <c r="F51" s="137" t="n"/>
      <c r="G51" s="137" t="n"/>
      <c r="H51" s="137" t="n"/>
    </row>
    <row r="52">
      <c r="A52" s="137" t="n"/>
      <c r="B52" s="137" t="n"/>
      <c r="C52" s="137" t="n"/>
      <c r="D52" s="137" t="n"/>
      <c r="E52" s="137" t="n"/>
      <c r="F52" s="137" t="n"/>
      <c r="G52" s="137" t="n"/>
      <c r="H52" s="137" t="n"/>
    </row>
    <row r="53">
      <c r="A53" s="137" t="n"/>
      <c r="B53" s="137" t="n"/>
      <c r="C53" s="137" t="n"/>
      <c r="D53" s="137" t="n"/>
      <c r="E53" s="137" t="n"/>
      <c r="F53" s="137" t="n"/>
      <c r="G53" s="137" t="n"/>
      <c r="H53" s="137" t="n"/>
    </row>
    <row r="54">
      <c r="A54" s="137" t="n"/>
      <c r="B54" s="137" t="n"/>
      <c r="C54" s="137" t="n"/>
      <c r="D54" s="137" t="n"/>
      <c r="E54" s="137" t="n"/>
      <c r="F54" s="137" t="n"/>
      <c r="G54" s="137" t="n"/>
      <c r="H54" s="137" t="n"/>
    </row>
    <row r="55">
      <c r="A55" s="137" t="n"/>
      <c r="B55" s="137" t="n"/>
      <c r="C55" s="137" t="n"/>
      <c r="D55" s="137" t="n"/>
      <c r="E55" s="137" t="n"/>
      <c r="F55" s="137" t="n"/>
      <c r="G55" s="137" t="n"/>
      <c r="H55" s="137" t="n"/>
    </row>
    <row r="56">
      <c r="A56" s="137" t="n"/>
      <c r="B56" s="137" t="n"/>
      <c r="C56" s="137" t="n"/>
      <c r="D56" s="137" t="n"/>
      <c r="E56" s="137" t="n"/>
      <c r="F56" s="137" t="n"/>
      <c r="G56" s="137" t="n"/>
      <c r="H56" s="137" t="n"/>
    </row>
    <row r="57">
      <c r="A57" s="137" t="n"/>
      <c r="B57" s="137" t="n"/>
      <c r="C57" s="137" t="n"/>
      <c r="D57" s="137" t="n"/>
      <c r="E57" s="137" t="n"/>
      <c r="F57" s="137" t="n"/>
      <c r="G57" s="137" t="n"/>
      <c r="H57" s="137" t="n"/>
    </row>
    <row r="58">
      <c r="A58" s="137" t="n"/>
      <c r="B58" s="137" t="n"/>
      <c r="C58" s="137" t="n"/>
      <c r="D58" s="137" t="n"/>
      <c r="E58" s="137" t="n"/>
      <c r="F58" s="137" t="n"/>
      <c r="G58" s="137" t="n"/>
      <c r="H58" s="137" t="n"/>
    </row>
    <row r="59">
      <c r="A59" s="137" t="n"/>
      <c r="B59" s="137" t="n"/>
      <c r="C59" s="137" t="n"/>
      <c r="D59" s="137" t="n"/>
      <c r="E59" s="137" t="n"/>
      <c r="F59" s="137" t="n"/>
      <c r="G59" s="137" t="n"/>
      <c r="H59" s="137" t="n"/>
    </row>
    <row r="60">
      <c r="A60" s="137" t="n"/>
      <c r="B60" s="137" t="n"/>
      <c r="C60" s="137" t="n"/>
      <c r="D60" s="137" t="n"/>
      <c r="E60" s="137" t="n"/>
      <c r="F60" s="137" t="n"/>
      <c r="G60" s="137" t="n"/>
      <c r="H60" s="137" t="n"/>
    </row>
    <row r="61">
      <c r="A61" s="137" t="n"/>
      <c r="B61" s="137" t="n"/>
      <c r="C61" s="137" t="n"/>
      <c r="D61" s="137" t="n"/>
      <c r="E61" s="137" t="n"/>
      <c r="F61" s="137" t="n"/>
      <c r="G61" s="137" t="n"/>
      <c r="H61" s="137" t="n"/>
    </row>
    <row r="62">
      <c r="A62" s="137" t="n"/>
      <c r="B62" s="137" t="n"/>
      <c r="C62" s="137" t="n"/>
      <c r="D62" s="137" t="n"/>
      <c r="E62" s="137" t="n"/>
      <c r="F62" s="137" t="n"/>
      <c r="G62" s="137" t="n"/>
      <c r="H62" s="137" t="n"/>
    </row>
    <row r="63">
      <c r="A63" s="137" t="n"/>
      <c r="B63" s="137" t="n"/>
      <c r="C63" s="137" t="n"/>
      <c r="D63" s="137" t="n"/>
      <c r="E63" s="137" t="n"/>
      <c r="F63" s="137" t="n"/>
      <c r="G63" s="137" t="n"/>
      <c r="H63" s="137" t="n"/>
    </row>
    <row r="64">
      <c r="A64" s="137" t="n"/>
      <c r="B64" s="137" t="n"/>
      <c r="C64" s="137" t="n"/>
      <c r="D64" s="137" t="n"/>
      <c r="E64" s="137" t="n"/>
      <c r="F64" s="137" t="n"/>
      <c r="G64" s="137" t="n"/>
      <c r="H64" s="137" t="n"/>
    </row>
    <row r="65">
      <c r="A65" s="137" t="n"/>
      <c r="B65" s="137" t="n"/>
      <c r="C65" s="137" t="n"/>
      <c r="D65" s="137" t="n"/>
      <c r="E65" s="137" t="n"/>
      <c r="F65" s="137" t="n"/>
      <c r="G65" s="137" t="n"/>
      <c r="H65" s="137" t="n"/>
    </row>
    <row r="66">
      <c r="A66" s="137" t="n"/>
      <c r="B66" s="137" t="n"/>
      <c r="C66" s="137" t="n"/>
      <c r="D66" s="137" t="n"/>
      <c r="E66" s="137" t="n"/>
      <c r="F66" s="137" t="n"/>
      <c r="G66" s="137" t="n"/>
      <c r="H66" s="137" t="n"/>
    </row>
    <row r="67">
      <c r="A67" s="137" t="n"/>
      <c r="B67" s="137" t="n"/>
      <c r="C67" s="137" t="n"/>
      <c r="D67" s="137" t="n"/>
      <c r="E67" s="137" t="n"/>
      <c r="F67" s="137" t="n"/>
      <c r="G67" s="137" t="n"/>
      <c r="H67" s="137" t="n"/>
    </row>
    <row r="68">
      <c r="A68" s="137" t="n"/>
      <c r="B68" s="137" t="n"/>
      <c r="C68" s="137" t="n"/>
      <c r="D68" s="137" t="n"/>
      <c r="E68" s="137" t="n"/>
      <c r="F68" s="137" t="n"/>
      <c r="G68" s="137" t="n"/>
      <c r="H68" s="137" t="n"/>
    </row>
    <row r="69">
      <c r="A69" s="137" t="n"/>
      <c r="B69" s="137" t="n"/>
      <c r="C69" s="137" t="n"/>
      <c r="D69" s="137" t="n"/>
      <c r="E69" s="137" t="n"/>
      <c r="F69" s="137" t="n"/>
      <c r="G69" s="137" t="n"/>
      <c r="H69" s="137" t="n"/>
    </row>
    <row r="70">
      <c r="A70" s="137" t="n"/>
      <c r="B70" s="137" t="n"/>
      <c r="C70" s="137" t="n"/>
      <c r="D70" s="137" t="n"/>
      <c r="E70" s="137" t="n"/>
      <c r="F70" s="137" t="n"/>
      <c r="G70" s="137" t="n"/>
      <c r="H70" s="137" t="n"/>
    </row>
    <row r="71">
      <c r="A71" s="137" t="n"/>
      <c r="B71" s="137" t="n"/>
      <c r="C71" s="137" t="n"/>
      <c r="D71" s="137" t="n"/>
      <c r="E71" s="137" t="n"/>
      <c r="F71" s="137" t="n"/>
      <c r="G71" s="137" t="n"/>
      <c r="H71" s="137" t="n"/>
    </row>
    <row r="72">
      <c r="A72" s="137" t="n"/>
      <c r="B72" s="137" t="n"/>
      <c r="C72" s="137" t="n"/>
      <c r="D72" s="137" t="n"/>
      <c r="E72" s="137" t="n"/>
      <c r="F72" s="137" t="n"/>
      <c r="G72" s="137" t="n"/>
      <c r="H72" s="137" t="n"/>
    </row>
    <row r="73">
      <c r="A73" s="137" t="n"/>
      <c r="B73" s="137" t="n"/>
      <c r="C73" s="137" t="n"/>
      <c r="D73" s="137" t="n"/>
      <c r="E73" s="137" t="n"/>
      <c r="F73" s="137" t="n"/>
      <c r="G73" s="137" t="n"/>
      <c r="H73" s="137" t="n"/>
    </row>
    <row r="74">
      <c r="A74" s="137" t="n"/>
      <c r="B74" s="137" t="n"/>
      <c r="C74" s="137" t="n"/>
      <c r="D74" s="137" t="n"/>
      <c r="E74" s="137" t="n"/>
      <c r="F74" s="137" t="n"/>
      <c r="G74" s="137" t="n"/>
      <c r="H74" s="137" t="n"/>
    </row>
    <row r="75">
      <c r="A75" s="137" t="n"/>
      <c r="B75" s="137" t="n"/>
      <c r="C75" s="137" t="n"/>
      <c r="D75" s="137" t="n"/>
      <c r="E75" s="137" t="n"/>
      <c r="F75" s="137" t="n"/>
      <c r="G75" s="137" t="n"/>
      <c r="H75" s="137" t="n"/>
    </row>
    <row r="76">
      <c r="A76" s="137" t="n"/>
      <c r="B76" s="137" t="n"/>
      <c r="C76" s="137" t="n"/>
      <c r="D76" s="137" t="n"/>
      <c r="E76" s="137" t="n"/>
      <c r="F76" s="137" t="n"/>
      <c r="G76" s="137" t="n"/>
      <c r="H76" s="137" t="n"/>
    </row>
    <row r="77">
      <c r="A77" s="137" t="n"/>
      <c r="B77" s="137" t="n"/>
      <c r="C77" s="137" t="n"/>
      <c r="D77" s="137" t="n"/>
      <c r="E77" s="137" t="n"/>
      <c r="F77" s="137" t="n"/>
      <c r="G77" s="137" t="n"/>
      <c r="H77" s="137" t="n"/>
    </row>
    <row r="78">
      <c r="A78" s="137" t="n"/>
      <c r="B78" s="137" t="n"/>
      <c r="C78" s="137" t="n"/>
      <c r="D78" s="137" t="n"/>
      <c r="E78" s="137" t="n"/>
      <c r="F78" s="137" t="n"/>
      <c r="G78" s="137" t="n"/>
      <c r="H78" s="137" t="n"/>
    </row>
    <row r="79">
      <c r="A79" s="137" t="n"/>
      <c r="B79" s="137" t="n"/>
      <c r="C79" s="137" t="n"/>
      <c r="D79" s="137" t="n"/>
      <c r="E79" s="137" t="n"/>
      <c r="F79" s="137" t="n"/>
      <c r="G79" s="137" t="n"/>
      <c r="H79" s="137" t="n"/>
    </row>
    <row r="80">
      <c r="A80" s="137" t="n"/>
      <c r="B80" s="137" t="n"/>
      <c r="C80" s="137" t="n"/>
      <c r="D80" s="137" t="n"/>
      <c r="E80" s="137" t="n"/>
      <c r="F80" s="137" t="n"/>
      <c r="G80" s="137" t="n"/>
      <c r="H80" s="137" t="n"/>
    </row>
    <row r="81">
      <c r="A81" s="137" t="n"/>
      <c r="B81" s="137" t="n"/>
      <c r="C81" s="137" t="n"/>
      <c r="D81" s="137" t="n"/>
      <c r="E81" s="137" t="n"/>
      <c r="F81" s="137" t="n"/>
      <c r="G81" s="137" t="n"/>
      <c r="H81" s="137" t="n"/>
    </row>
    <row r="82">
      <c r="A82" s="137" t="n"/>
      <c r="B82" s="137" t="n"/>
      <c r="C82" s="137" t="n"/>
      <c r="D82" s="137" t="n"/>
      <c r="E82" s="137" t="n"/>
      <c r="F82" s="137" t="n"/>
      <c r="G82" s="137" t="n"/>
      <c r="H82" s="137" t="n"/>
    </row>
    <row r="83">
      <c r="A83" s="137" t="n"/>
      <c r="B83" s="137" t="n"/>
      <c r="C83" s="137" t="n"/>
      <c r="D83" s="137" t="n"/>
      <c r="E83" s="137" t="n"/>
      <c r="F83" s="137" t="n"/>
      <c r="G83" s="137" t="n"/>
      <c r="H83" s="137" t="n"/>
    </row>
    <row r="84">
      <c r="A84" s="137" t="n"/>
      <c r="B84" s="137" t="n"/>
      <c r="C84" s="137" t="n"/>
      <c r="D84" s="137" t="n"/>
      <c r="E84" s="137" t="n"/>
      <c r="F84" s="137" t="n"/>
      <c r="G84" s="137" t="n"/>
      <c r="H84" s="137" t="n"/>
    </row>
    <row r="85">
      <c r="A85" s="137" t="n"/>
      <c r="B85" s="137" t="n"/>
      <c r="C85" s="137" t="n"/>
      <c r="D85" s="137" t="n"/>
      <c r="E85" s="137" t="n"/>
      <c r="F85" s="137" t="n"/>
      <c r="G85" s="137" t="n"/>
      <c r="H85" s="137" t="n"/>
    </row>
    <row r="86">
      <c r="A86" s="137" t="n"/>
      <c r="B86" s="137" t="n"/>
      <c r="C86" s="137" t="n"/>
      <c r="D86" s="137" t="n"/>
      <c r="E86" s="137" t="n"/>
      <c r="F86" s="137" t="n"/>
      <c r="G86" s="137" t="n"/>
      <c r="H86" s="137" t="n"/>
    </row>
    <row r="87">
      <c r="A87" s="137" t="n"/>
      <c r="B87" s="137" t="n"/>
      <c r="C87" s="137" t="n"/>
      <c r="D87" s="137" t="n"/>
      <c r="E87" s="137" t="n"/>
      <c r="F87" s="137" t="n"/>
      <c r="G87" s="137" t="n"/>
      <c r="H87" s="137" t="n"/>
    </row>
    <row r="88">
      <c r="A88" s="137" t="n"/>
      <c r="B88" s="137" t="n"/>
      <c r="C88" s="137" t="n"/>
      <c r="D88" s="137" t="n"/>
      <c r="E88" s="137" t="n"/>
      <c r="F88" s="137" t="n"/>
      <c r="G88" s="137" t="n"/>
      <c r="H88" s="137" t="n"/>
    </row>
    <row r="89">
      <c r="A89" s="137" t="n"/>
      <c r="B89" s="137" t="n"/>
      <c r="C89" s="137" t="n"/>
      <c r="D89" s="137" t="n"/>
      <c r="E89" s="137" t="n"/>
      <c r="F89" s="137" t="n"/>
      <c r="G89" s="137" t="n"/>
      <c r="H89" s="137" t="n"/>
    </row>
    <row r="90">
      <c r="A90" s="137" t="n"/>
      <c r="B90" s="137" t="n"/>
      <c r="C90" s="137" t="n"/>
      <c r="D90" s="137" t="n"/>
      <c r="E90" s="137" t="n"/>
      <c r="F90" s="137" t="n"/>
      <c r="G90" s="137" t="n"/>
      <c r="H90" s="137" t="n"/>
    </row>
    <row r="91">
      <c r="A91" s="137" t="n"/>
      <c r="B91" s="137" t="n"/>
      <c r="C91" s="137" t="n"/>
      <c r="D91" s="137" t="n"/>
      <c r="E91" s="137" t="n"/>
      <c r="F91" s="137" t="n"/>
      <c r="G91" s="137" t="n"/>
      <c r="H91" s="137" t="n"/>
    </row>
    <row r="92">
      <c r="A92" s="137" t="n"/>
      <c r="B92" s="137" t="n"/>
      <c r="C92" s="137" t="n"/>
      <c r="D92" s="137" t="n"/>
      <c r="E92" s="137" t="n"/>
      <c r="F92" s="137" t="n"/>
      <c r="G92" s="137" t="n"/>
      <c r="H92" s="137" t="n"/>
    </row>
    <row r="93">
      <c r="A93" s="137" t="n"/>
      <c r="B93" s="137" t="n"/>
      <c r="C93" s="137" t="n"/>
      <c r="D93" s="137" t="n"/>
      <c r="E93" s="137" t="n"/>
      <c r="F93" s="137" t="n"/>
      <c r="G93" s="137" t="n"/>
      <c r="H93" s="137" t="n"/>
    </row>
    <row r="94">
      <c r="A94" s="137" t="n"/>
      <c r="B94" s="137" t="n"/>
      <c r="C94" s="137" t="n"/>
      <c r="D94" s="137" t="n"/>
      <c r="E94" s="137" t="n"/>
      <c r="F94" s="137" t="n"/>
      <c r="G94" s="137" t="n"/>
      <c r="H94" s="137" t="n"/>
    </row>
    <row r="95">
      <c r="A95" s="137" t="n"/>
      <c r="B95" s="137" t="n"/>
      <c r="C95" s="137" t="n"/>
      <c r="D95" s="137" t="n"/>
      <c r="E95" s="137" t="n"/>
      <c r="F95" s="137" t="n"/>
      <c r="G95" s="137" t="n"/>
      <c r="H95" s="137" t="n"/>
    </row>
    <row r="96">
      <c r="A96" s="137" t="n"/>
      <c r="B96" s="137" t="n"/>
      <c r="C96" s="137" t="n"/>
      <c r="D96" s="137" t="n"/>
      <c r="E96" s="137" t="n"/>
      <c r="F96" s="137" t="n"/>
      <c r="G96" s="137" t="n"/>
      <c r="H96" s="137" t="n"/>
    </row>
    <row r="97">
      <c r="A97" s="137" t="n"/>
      <c r="B97" s="137" t="n"/>
      <c r="C97" s="137" t="n"/>
      <c r="D97" s="137" t="n"/>
      <c r="E97" s="137" t="n"/>
      <c r="F97" s="137" t="n"/>
      <c r="G97" s="137" t="n"/>
      <c r="H97" s="137" t="n"/>
    </row>
    <row r="98">
      <c r="A98" s="137" t="n"/>
      <c r="B98" s="137" t="n"/>
      <c r="C98" s="137" t="n"/>
      <c r="D98" s="137" t="n"/>
      <c r="E98" s="137" t="n"/>
      <c r="F98" s="137" t="n"/>
      <c r="G98" s="137" t="n"/>
      <c r="H98" s="137" t="n"/>
    </row>
    <row r="99">
      <c r="A99" s="137" t="n"/>
      <c r="B99" s="137" t="n"/>
      <c r="C99" s="137" t="n"/>
      <c r="D99" s="137" t="n"/>
      <c r="E99" s="137" t="n"/>
      <c r="F99" s="137" t="n"/>
      <c r="G99" s="137" t="n"/>
      <c r="H99" s="137" t="n"/>
    </row>
    <row r="100">
      <c r="A100" s="137" t="n"/>
      <c r="B100" s="137" t="n"/>
      <c r="C100" s="137" t="n"/>
      <c r="D100" s="137" t="n"/>
      <c r="E100" s="137" t="n"/>
      <c r="F100" s="137" t="n"/>
      <c r="G100" s="137" t="n"/>
      <c r="H100" s="1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2026-04-09T14:44:01Z</dcterms:created>
  <dcterms:modified xmlns:dcterms="http://purl.org/dc/terms/" xmlns:xsi="http://www.w3.org/2001/XMLSchema-instance" xsi:type="dcterms:W3CDTF">2026-04-13T14:25:54Z</dcterms:modified>
  <cp:lastModifiedBy>Andre YILDIZ</cp:lastModifiedBy>
</cp:coreProperties>
</file>