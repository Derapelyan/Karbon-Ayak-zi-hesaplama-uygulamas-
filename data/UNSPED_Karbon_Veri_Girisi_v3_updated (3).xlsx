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Desktop\carbon_project\data\"/>
    </mc:Choice>
  </mc:AlternateContent>
  <xr:revisionPtr revIDLastSave="0" documentId="13_ncr:1_{46B20867-E44A-43B0-9B8B-8ECDCD5BE26D}" xr6:coauthVersionLast="47" xr6:coauthVersionMax="47" xr10:uidLastSave="{00000000-0000-0000-0000-000000000000}"/>
  <bookViews>
    <workbookView xWindow="-120" yWindow="-120" windowWidth="29040" windowHeight="15720" firstSheet="12" activeTab="19" xr2:uid="{00000000-000D-0000-FFFF-FFFF00000000}"/>
  </bookViews>
  <sheets>
    <sheet name="README" sheetId="1" r:id="rId1"/>
    <sheet name="1.1_Stationary" sheetId="2" r:id="rId2"/>
    <sheet name="1.2_Mobile" sheetId="3" r:id="rId3"/>
    <sheet name="1.4_Refrigerants" sheetId="4" r:id="rId4"/>
    <sheet name="2.1_Electricity" sheetId="5" r:id="rId5"/>
    <sheet name="3.1_Freight" sheetId="6" r:id="rId6"/>
    <sheet name="3.2_ProductShipment" sheetId="7" r:id="rId7"/>
    <sheet name="3.3_Commuting" sheetId="8" r:id="rId8"/>
    <sheet name="3.4_BusinessTravel" sheetId="9" r:id="rId9"/>
    <sheet name="3.5_FlightsHotels" sheetId="10" r:id="rId10"/>
    <sheet name="4.1_Purchased" sheetId="11" r:id="rId11"/>
    <sheet name="4.2_Capital" sheetId="12" r:id="rId12"/>
    <sheet name="4.3_Waste" sheetId="13" r:id="rId13"/>
    <sheet name="4.4_LeasedEquipment" sheetId="14" r:id="rId14"/>
    <sheet name="4.5_Services" sheetId="15" r:id="rId15"/>
    <sheet name="6.1_TDLosses" sheetId="16" r:id="rId16"/>
    <sheet name="PERSONNEL" sheetId="17" r:id="rId17"/>
    <sheet name="TOTAL_EMISSIONS" sheetId="18" r:id="rId18"/>
    <sheet name="IMPACT_ANALYSIS" sheetId="19" r:id="rId19"/>
    <sheet name="PER_CAPITA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5" l="1"/>
  <c r="H10" i="15"/>
  <c r="H11" i="15"/>
  <c r="H12" i="15"/>
  <c r="H13" i="15"/>
  <c r="H7" i="15"/>
  <c r="Y38" i="15"/>
  <c r="AE38" i="15" s="1"/>
  <c r="X38" i="15"/>
  <c r="AB38" i="15" s="1"/>
  <c r="I38" i="15"/>
  <c r="W38" i="15" s="1"/>
  <c r="H14" i="13"/>
  <c r="H13" i="13"/>
  <c r="H12" i="13"/>
  <c r="H11" i="13"/>
  <c r="H10" i="13"/>
  <c r="H5" i="13"/>
  <c r="H6" i="13"/>
  <c r="H7" i="13"/>
  <c r="H8" i="13"/>
  <c r="H4" i="13"/>
  <c r="I17" i="12"/>
  <c r="I16" i="12"/>
  <c r="I8" i="12"/>
  <c r="I9" i="12"/>
  <c r="I10" i="12"/>
  <c r="I11" i="12"/>
  <c r="I12" i="12"/>
  <c r="I13" i="12"/>
  <c r="I14" i="12"/>
  <c r="H35" i="11"/>
  <c r="H36" i="11"/>
  <c r="H37" i="11"/>
  <c r="H38" i="11"/>
  <c r="H34" i="11"/>
  <c r="H33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5" i="11"/>
  <c r="H4" i="11"/>
  <c r="H18" i="10"/>
  <c r="F18" i="10"/>
  <c r="F17" i="10"/>
  <c r="H17" i="10" s="1"/>
  <c r="F16" i="10"/>
  <c r="H16" i="10" s="1"/>
  <c r="F15" i="10"/>
  <c r="H15" i="10" s="1"/>
  <c r="F14" i="10"/>
  <c r="H14" i="10" s="1"/>
  <c r="F13" i="10"/>
  <c r="H13" i="10" s="1"/>
  <c r="H8" i="10"/>
  <c r="H9" i="10"/>
  <c r="H10" i="10"/>
  <c r="H11" i="10"/>
  <c r="F11" i="10"/>
  <c r="F10" i="10"/>
  <c r="F9" i="10"/>
  <c r="F8" i="10"/>
  <c r="F7" i="10"/>
  <c r="H7" i="10" s="1"/>
  <c r="H4" i="10"/>
  <c r="I11" i="9"/>
  <c r="I10" i="9"/>
  <c r="I8" i="9"/>
  <c r="I7" i="9"/>
  <c r="N8" i="8"/>
  <c r="N20" i="8"/>
  <c r="N14" i="8"/>
  <c r="N19" i="8"/>
  <c r="N13" i="8"/>
  <c r="N7" i="8"/>
  <c r="AF38" i="15" l="1"/>
  <c r="N18" i="8" l="1"/>
  <c r="N17" i="8"/>
  <c r="N16" i="8"/>
  <c r="N12" i="8"/>
  <c r="N11" i="8"/>
  <c r="N10" i="8"/>
  <c r="I9" i="7"/>
  <c r="I8" i="7"/>
  <c r="I7" i="7"/>
  <c r="I6" i="7"/>
  <c r="I9" i="6"/>
  <c r="I8" i="6"/>
  <c r="I7" i="6"/>
  <c r="I6" i="6"/>
  <c r="F5" i="5"/>
  <c r="F6" i="5"/>
  <c r="F7" i="5"/>
  <c r="F8" i="5"/>
  <c r="F9" i="5"/>
  <c r="K23" i="4"/>
  <c r="H23" i="4"/>
  <c r="H21" i="4"/>
  <c r="K21" i="4" s="1"/>
  <c r="I21" i="4"/>
  <c r="H22" i="4"/>
  <c r="K22" i="4" s="1"/>
  <c r="I22" i="4"/>
  <c r="H24" i="4"/>
  <c r="K24" i="4" s="1"/>
  <c r="I24" i="4"/>
  <c r="H25" i="4"/>
  <c r="K25" i="4" s="1"/>
  <c r="H26" i="4"/>
  <c r="K26" i="4" s="1"/>
  <c r="I20" i="4"/>
  <c r="H20" i="4"/>
  <c r="K20" i="4" s="1"/>
  <c r="I19" i="4"/>
  <c r="H19" i="4"/>
  <c r="K19" i="4" s="1"/>
  <c r="I18" i="4"/>
  <c r="H18" i="4"/>
  <c r="K18" i="4" s="1"/>
  <c r="I17" i="4"/>
  <c r="H17" i="4"/>
  <c r="K17" i="4" s="1"/>
  <c r="I15" i="4"/>
  <c r="H15" i="4"/>
  <c r="K15" i="4" s="1"/>
  <c r="I14" i="4"/>
  <c r="H14" i="4"/>
  <c r="K14" i="4" s="1"/>
  <c r="I13" i="4"/>
  <c r="H13" i="4"/>
  <c r="K13" i="4" s="1"/>
  <c r="I12" i="4"/>
  <c r="H12" i="4"/>
  <c r="K12" i="4" s="1"/>
  <c r="I11" i="4"/>
  <c r="H11" i="4"/>
  <c r="K11" i="4" s="1"/>
  <c r="M13" i="3"/>
  <c r="M12" i="3"/>
  <c r="M11" i="3"/>
  <c r="M10" i="3"/>
  <c r="M9" i="3"/>
  <c r="M6" i="3"/>
  <c r="M7" i="3"/>
  <c r="M8" i="3"/>
  <c r="M14" i="2"/>
  <c r="M15" i="2"/>
  <c r="M16" i="2"/>
  <c r="M17" i="2"/>
  <c r="M18" i="2"/>
  <c r="M19" i="2"/>
  <c r="M20" i="2"/>
  <c r="M11" i="2"/>
  <c r="M12" i="2"/>
  <c r="M9" i="2"/>
  <c r="M10" i="2"/>
  <c r="H6" i="15"/>
  <c r="H5" i="15"/>
  <c r="H4" i="15"/>
  <c r="H4" i="14"/>
  <c r="I7" i="12"/>
  <c r="I6" i="12"/>
  <c r="I5" i="12"/>
  <c r="I4" i="12"/>
  <c r="F5" i="10"/>
  <c r="H5" i="10" s="1"/>
  <c r="F4" i="10"/>
  <c r="I5" i="9"/>
  <c r="I4" i="9"/>
  <c r="N6" i="8"/>
  <c r="N5" i="8"/>
  <c r="N4" i="8"/>
  <c r="I5" i="7"/>
  <c r="I4" i="7"/>
  <c r="I5" i="6"/>
  <c r="I4" i="6"/>
  <c r="F4" i="5"/>
  <c r="I9" i="4"/>
  <c r="H9" i="4"/>
  <c r="K9" i="4" s="1"/>
  <c r="I8" i="4"/>
  <c r="H8" i="4"/>
  <c r="K8" i="4" s="1"/>
  <c r="I7" i="4"/>
  <c r="H7" i="4"/>
  <c r="K7" i="4" s="1"/>
  <c r="I6" i="4"/>
  <c r="H6" i="4"/>
  <c r="K6" i="4" s="1"/>
  <c r="I5" i="4"/>
  <c r="H5" i="4"/>
  <c r="K5" i="4" s="1"/>
  <c r="M5" i="3"/>
  <c r="M4" i="3"/>
  <c r="M7" i="2"/>
  <c r="M6" i="2"/>
  <c r="M5" i="2"/>
  <c r="M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UNSPED Importer</author>
  </authors>
  <commentList>
    <comment ref="F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🔄 Birim dönüşümü yapıldı:
[2.1_Electricity] Elektrik: 1416240.0 kWh → 1416.240000 MWh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W38" authorId="0" shapeId="0" xr:uid="{5037E0DF-E834-481B-B239-4F11342EE907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ton/Gg dönüşümü için 10^-3, kg/ton dönüşümü için 10^3 çarpanları kullanılmıştır.</t>
        </r>
      </text>
    </comment>
  </commentList>
</comments>
</file>

<file path=xl/sharedStrings.xml><?xml version="1.0" encoding="utf-8"?>
<sst xmlns="http://schemas.openxmlformats.org/spreadsheetml/2006/main" count="1149" uniqueCount="496">
  <si>
    <t>UNSPED — KARBON AYAK İZİ VERİ GİRİŞ ŞABLONU v3</t>
  </si>
  <si>
    <t>NASIL KULLANILIR</t>
  </si>
  <si>
    <t>1.  Alt sekmelerde her emisyon kategorisi için ilgili sayfayı açın.</t>
  </si>
  <si>
    <t>2.  MAVİ hücreleri doldurun. YEŞİL hücreler online'dan otomatik dolar — gerekirse üzerine yazın.</t>
  </si>
  <si>
    <t>3.  GRİ hücrelere dokunmayın — sistem hesaplar.</t>
  </si>
  <si>
    <t>4.  Dosyayı kaydedin ve importer'ı çalıştırın:   python pipeline/importer.py</t>
  </si>
  <si>
    <t>5.  Sistem bu dosyayı okur, DB'den + online'dan emisyon faktörlerini çeker,</t>
  </si>
  <si>
    <t xml:space="preserve">    CO2e hesaplayıp sonuçları otomatik kaydeder.</t>
  </si>
  <si>
    <t>RENK KODLARI</t>
  </si>
  <si>
    <t xml:space="preserve">  🔵 MAVİ     — Siz doldurursunuz (aktivite verisi)</t>
  </si>
  <si>
    <t xml:space="preserve">  🟢 YEŞİL    — Online'dan otomatik dolar, üzerine yazabilirsiniz (emisyon faktörleri)</t>
  </si>
  <si>
    <t xml:space="preserve">  ⚪ GRİ      — Hesaplanan, dokunmayın</t>
  </si>
  <si>
    <t xml:space="preserve">  🟡 SARI     — Toplamlar</t>
  </si>
  <si>
    <t>SAYFALAR</t>
  </si>
  <si>
    <t xml:space="preserve">  1.1_Stationary        — Sabit yakma (doğalgaz, motorin, benzin)</t>
  </si>
  <si>
    <t xml:space="preserve">  1.2_Mobile            — Hareketli yakma (şirket araçları)</t>
  </si>
  <si>
    <t xml:space="preserve">  1.4_Refrigerants      — Soğutucu gazlar</t>
  </si>
  <si>
    <t xml:space="preserve">  2.1_Electricity       — Elektrik tüketimi</t>
  </si>
  <si>
    <t xml:space="preserve">  3.1_Freight           — Hammadde sevkiyatı</t>
  </si>
  <si>
    <t xml:space="preserve">  3.2_ProductShipment   — Ürün sevkiyatı</t>
  </si>
  <si>
    <t xml:space="preserve">  3.3_Commuting         — Personel işe gidiş gelişleri</t>
  </si>
  <si>
    <t xml:space="preserve">  3.4_BusinessTravel    — İş seyahati karayolu</t>
  </si>
  <si>
    <t xml:space="preserve">  3.5_FlightsHotels     — Uçak &amp; konaklama</t>
  </si>
  <si>
    <t xml:space="preserve">  4.1_Purchased         — Satın alınan malzemeler</t>
  </si>
  <si>
    <t xml:space="preserve">  4.2_Capital           — Sermaye varlıkları</t>
  </si>
  <si>
    <t xml:space="preserve">  4.3_Waste             — Atık bertarafı</t>
  </si>
  <si>
    <t xml:space="preserve">  4.4_LeasedEquipment   — Kiralanan ekipmanlar</t>
  </si>
  <si>
    <t xml:space="preserve">  4.5_Services          — Hizmet alımları</t>
  </si>
  <si>
    <t xml:space="preserve">  6.1_TDLosses          — İletim &amp; dağıtım kayıpları</t>
  </si>
  <si>
    <t xml:space="preserve">  PERSONNEL             — Lokasyon &amp; personel sayısı ← SİZ GİRİN</t>
  </si>
  <si>
    <t xml:space="preserve">  TOTAL_EMISSIONS       — Tüm kapsamlar özet toplam</t>
  </si>
  <si>
    <t xml:space="preserve">  IMPACT_ANALYSIS       — %95 etkili emisyon kaynakları</t>
  </si>
  <si>
    <t xml:space="preserve">  PER_CAPITA            — Lokasyon başına ton CO2e / kişi</t>
  </si>
  <si>
    <t>ÖNEMLİ</t>
  </si>
  <si>
    <t xml:space="preserve">  • Sütun eklemeyin/silmeyin. Sekme adlarını değiştirmeyin.</t>
  </si>
  <si>
    <t xml:space="preserve">  • Veri tablolarının altına satır ekleyebilirsiniz.</t>
  </si>
  <si>
    <t>1.1 — Sabit Yakma Kaynaklı Emisyonlar</t>
  </si>
  <si>
    <t>MAVİ = siz doldurun  |  YEŞİL = online'dan otomatik, üzerine yazılabilir  |  GRİ = hesaplanan, dokunmayın</t>
  </si>
  <si>
    <t>Yıl</t>
  </si>
  <si>
    <t>Emisyon Kaynağı</t>
  </si>
  <si>
    <t>Yakıt Türü</t>
  </si>
  <si>
    <t>Miktar</t>
  </si>
  <si>
    <t>Birim
🟢
(m³/L/kg/ton)</t>
  </si>
  <si>
    <t>NCV
(TJ/Gg)
🟢 Online</t>
  </si>
  <si>
    <t>EF CO2
(Ton/TJ)
🟢 Online</t>
  </si>
  <si>
    <t>EF CH4
(Ton/TJ)
🟢 Online</t>
  </si>
  <si>
    <t>EF N2O
(Ton/TJ)
🟢 Online</t>
  </si>
  <si>
    <t>GWP CH4
🟢 Online</t>
  </si>
  <si>
    <t>GWP N2O
🟢 Online</t>
  </si>
  <si>
    <t>Yoğunluk
(ton/birim)
🟢 Online</t>
  </si>
  <si>
    <t>CO2e
(ton)
⚪ Hesaplanan</t>
  </si>
  <si>
    <t>Not</t>
  </si>
  <si>
    <t>Kombi</t>
  </si>
  <si>
    <t>natural_gas</t>
  </si>
  <si>
    <t>m³</t>
  </si>
  <si>
    <t>Ana bina ısıtma</t>
  </si>
  <si>
    <t>Jeneratörler</t>
  </si>
  <si>
    <t>diesel</t>
  </si>
  <si>
    <t>L</t>
  </si>
  <si>
    <t>Yedek jeneratör</t>
  </si>
  <si>
    <t>Yangın Tatb.</t>
  </si>
  <si>
    <t>Tatbikat</t>
  </si>
  <si>
    <t>petrol</t>
  </si>
  <si>
    <t>NOTLAR VE KAYNAKLAR</t>
  </si>
  <si>
    <t>• YEŞİL hücreler (NCV, EF, GWP, Yoğunluk) importer çalıştığında online'dan otomatik güncellenir.</t>
  </si>
  <si>
    <t>• İstediğiniz değeri manuel olarak üzerine yazabilirsiniz — sistem DB'ye kaydeder.</t>
  </si>
  <si>
    <t>• Yakıt türü: natural_gas (m³) | diesel (L) | petrol (L)</t>
  </si>
  <si>
    <t>• Kaynak: IPCC 2006 Kılavuzu REF#3 &amp; REF#5</t>
  </si>
  <si>
    <t>← YOU FILL THESE (blue)</t>
  </si>
  <si>
    <t>← AUTO-FILLED FROM ONLINE — you can override (green)</t>
  </si>
  <si>
    <t>← DO NOT EDIT — calculated by system (grey)</t>
  </si>
  <si>
    <t>← TOTALS (yellow)</t>
  </si>
  <si>
    <t>1.2 — Hareketli Yakma — Şirket Araçları</t>
  </si>
  <si>
    <t>Binek Araçlar</t>
  </si>
  <si>
    <t>Benzin araçlar</t>
  </si>
  <si>
    <t>Dizel araçlar</t>
  </si>
  <si>
    <t>• YEŞİL hücreler otomatik güncellenir, üzerine yazılabilir.</t>
  </si>
  <si>
    <t>• Yakıt türü: petrol (L) | diesel (L)</t>
  </si>
  <si>
    <t>• Kaynak: IPCC 2006 REF#3 &amp; REF#5</t>
  </si>
  <si>
    <t>1.4 — Soğutucu Gaz Kaçakları</t>
  </si>
  <si>
    <t>Sera
Gazı</t>
  </si>
  <si>
    <t>FV — Faaliyet Değeri</t>
  </si>
  <si>
    <t>EF — Sızıntı / Dolum Oranı</t>
  </si>
  <si>
    <t>Emisyon  (FV × EF)</t>
  </si>
  <si>
    <t>GWP
🟢 Online</t>
  </si>
  <si>
    <t>tCO2e
⚪ Hesaplanan</t>
  </si>
  <si>
    <t>Değer</t>
  </si>
  <si>
    <t>Birim
(kg veya ton)</t>
  </si>
  <si>
    <t>Birim</t>
  </si>
  <si>
    <t>Birim (ton gas)</t>
  </si>
  <si>
    <t>Soğutma Sistemi WRV (Sızıntı)</t>
  </si>
  <si>
    <t>R410A</t>
  </si>
  <si>
    <t>ton</t>
  </si>
  <si>
    <t>%</t>
  </si>
  <si>
    <t>Sızıntı tespiti</t>
  </si>
  <si>
    <t>Soğutma Sistemi Daikin Sistem Odası (Sızıntı)</t>
  </si>
  <si>
    <t>R32</t>
  </si>
  <si>
    <t>Soğutma Sistemi Emerson Sistem Odası (Dolum)</t>
  </si>
  <si>
    <t>R407c</t>
  </si>
  <si>
    <t>Tam dolum</t>
  </si>
  <si>
    <t>Yangın Söndürme Tüpü (Rutin Şarj Deşarj)</t>
  </si>
  <si>
    <t>HFC236fa</t>
  </si>
  <si>
    <t>Yangın Söndürme Sistemi Odası (Sızıntı)</t>
  </si>
  <si>
    <t>FM200</t>
  </si>
  <si>
    <t>• FV = Faaliyet Değeri (ton cinsinden girin)   • EF = Sızıntı oranı ondalık: %10 → 0.10 / %100 dolum → 1.00   • Emisyon = FV × EF (ton gas)   • tCO2e = Emisyon(ton) × GWP  ←  ton × GWP = tCO2e, çift bölme yok</t>
  </si>
  <si>
    <t>2.1 — Elektrik Tüketimi (Kapsam 2)</t>
  </si>
  <si>
    <t>Tüketim
(kWh/MWh/GWh)</t>
  </si>
  <si>
    <t>Birim
🟢
(kWh/MWh/GWh)</t>
  </si>
  <si>
    <t>EF
(ton CO2e/MWh)
🟢 Online</t>
  </si>
  <si>
    <t>EF Kaynak</t>
  </si>
  <si>
    <t>CO2e (ton)
⚪</t>
  </si>
  <si>
    <t>TEİAŞ/EPDK REF#10</t>
  </si>
  <si>
    <t>2023 tüketim</t>
  </si>
  <si>
    <t>• EF online'dan otomatik güncellenir, üzerine yazılabilir.</t>
  </si>
  <si>
    <t>• Tüketim kWh → importer MWh'ye çevirir.</t>
  </si>
  <si>
    <t>• Kaynak: TEİAŞ/EPDK</t>
  </si>
  <si>
    <t>3.1 — Hammadde Sevkiyatı</t>
  </si>
  <si>
    <t>Kategori</t>
  </si>
  <si>
    <t>Taşıma Tipi</t>
  </si>
  <si>
    <t>Araç Tipi</t>
  </si>
  <si>
    <t>Mesafe
(km/mil/m)</t>
  </si>
  <si>
    <t>Birim
🟢
(km/mil/m)</t>
  </si>
  <si>
    <t>EF
(kg CO2e/tkm)
🟢 Online</t>
  </si>
  <si>
    <t>3.1.1</t>
  </si>
  <si>
    <t>Hammadde Sevkiyatı</t>
  </si>
  <si>
    <t>Karayolu-%100 Laden</t>
  </si>
  <si>
    <t>All HGVs</t>
  </si>
  <si>
    <t>km</t>
  </si>
  <si>
    <t>3.1.2</t>
  </si>
  <si>
    <t>Karayolu (Dizel)</t>
  </si>
  <si>
    <t>Small Car</t>
  </si>
  <si>
    <t>• EF DEFRA'dan otomatik çekilir, üzerine yazılabilir.</t>
  </si>
  <si>
    <t>• Kaynak: DEFRA UK GHG Conversion Factors</t>
  </si>
  <si>
    <t>3.2 — Ürün Sevkiyatı</t>
  </si>
  <si>
    <t>3.2.1</t>
  </si>
  <si>
    <t>Ürün Sevkiyatı</t>
  </si>
  <si>
    <t>3.2.2</t>
  </si>
  <si>
    <t>• 3.1 hammadde, 3.2 ürün/çıktı sevkiyatı içindir.</t>
  </si>
  <si>
    <t>3.3 — Personel İşe Gidiş Gelişleri</t>
  </si>
  <si>
    <t>NCV
🟢 Online</t>
  </si>
  <si>
    <t>EF CO2
🟢 Online</t>
  </si>
  <si>
    <t>EF CH4
🟢 Online</t>
  </si>
  <si>
    <t>EF N2O
🟢 Online</t>
  </si>
  <si>
    <t>GWP CH4
🟢</t>
  </si>
  <si>
    <t>GWP N2O
🟢</t>
  </si>
  <si>
    <t>Yoğunluk
🟢</t>
  </si>
  <si>
    <t>3.3.1</t>
  </si>
  <si>
    <t>Şahsi Araç</t>
  </si>
  <si>
    <t>3.3.2</t>
  </si>
  <si>
    <t>3.3.3</t>
  </si>
  <si>
    <t>Servis Araçları</t>
  </si>
  <si>
    <t>diesel_shuttle</t>
  </si>
  <si>
    <t>• Yakıt türü: petrol | diesel | diesel_shuttle</t>
  </si>
  <si>
    <t>3.4 — İş Seyahati — Karayolu</t>
  </si>
  <si>
    <t>3.4.1</t>
  </si>
  <si>
    <t>İş Seyahati</t>
  </si>
  <si>
    <t>3.4.2</t>
  </si>
  <si>
    <t>Karayolu (Benzin)</t>
  </si>
  <si>
    <t>• İş amacıyla yapılan karayolu seyahatleri.</t>
  </si>
  <si>
    <t>3.5 — Uçak Bileti &amp; Konaklama</t>
  </si>
  <si>
    <t>Kalem</t>
  </si>
  <si>
    <t>Miktar (TL)</t>
  </si>
  <si>
    <t>Dolar Kuru
(TL/USD)</t>
  </si>
  <si>
    <t>2022 USD
⚪</t>
  </si>
  <si>
    <t>EF
(ton CO2e/2021 USD)
🟢 Online</t>
  </si>
  <si>
    <t>3.5.1</t>
  </si>
  <si>
    <t>Uçak Bileti Yurt İçi</t>
  </si>
  <si>
    <t>3.5.2</t>
  </si>
  <si>
    <t>Uçak Bileti Yurt Dışı</t>
  </si>
  <si>
    <t>3.5.3</t>
  </si>
  <si>
    <t>Konaklama - TR</t>
  </si>
  <si>
    <t>Gece/Oda</t>
  </si>
  <si>
    <t>3.5.4</t>
  </si>
  <si>
    <t>Konaklama - Almanya</t>
  </si>
  <si>
    <t>3.5.5</t>
  </si>
  <si>
    <t>Konaklama - İtalya</t>
  </si>
  <si>
    <t>• TL + dolar kuru girin → 2021 USD otomatik hesaplanır.</t>
  </si>
  <si>
    <t>• EF online'dan otomatik çekilir, üzerine yazılabilir.</t>
  </si>
  <si>
    <t>• Kaynak: EPA SupplyChain GHG v1.2 &amp; DEFRA</t>
  </si>
  <si>
    <t>4.1 — Satın Alınan Ürün ve Malzemeler</t>
  </si>
  <si>
    <t>Ürün Adı</t>
  </si>
  <si>
    <t>Miktar/USD</t>
  </si>
  <si>
    <t>Birim
🟢
(USD/TL/EUR/GBP/kg/ton)</t>
  </si>
  <si>
    <t>EF
(kg CO2e/birim)
🟢 Online</t>
  </si>
  <si>
    <t>EF Kaynak
🟢</t>
  </si>
  <si>
    <t>4.1.1</t>
  </si>
  <si>
    <t>Printer-Kağıt</t>
  </si>
  <si>
    <t>DEFRA</t>
  </si>
  <si>
    <t>4.1.2</t>
  </si>
  <si>
    <t>Printer-Toner</t>
  </si>
  <si>
    <t>2021 USD</t>
  </si>
  <si>
    <t>SupplyChainGHG v1.2</t>
  </si>
  <si>
    <t>4.1.3</t>
  </si>
  <si>
    <t>Baskılı Malzemeler</t>
  </si>
  <si>
    <t>4.1.4</t>
  </si>
  <si>
    <t>4.1.5</t>
  </si>
  <si>
    <t>• Kaynak: DEFRA &amp; EPA Supply Chain GHG Emission Factors v1.2</t>
  </si>
  <si>
    <t>4.2 — Sermaye Niteliğindeki Varlıklar</t>
  </si>
  <si>
    <t>Varlık Adı</t>
  </si>
  <si>
    <t>Tutar (2021 USD)</t>
  </si>
  <si>
    <t>Birim
🟢
(USD/TL/EUR)</t>
  </si>
  <si>
    <t>Amortisman (Yıl)</t>
  </si>
  <si>
    <t>EF
(kg CO2e/2021 USD)
🟢 Online</t>
  </si>
  <si>
    <t>4.2.1</t>
  </si>
  <si>
    <t>4.2.2</t>
  </si>
  <si>
    <t>4.2.3</t>
  </si>
  <si>
    <t>4.2.4</t>
  </si>
  <si>
    <t>• Formül: CO2e = (Tutar × EF) / (Amortisman × 1000)  →  ton CO2e</t>
  </si>
  <si>
    <t>• Kaynak: EPA Supply Chain GHG Emission Factors v1.2</t>
  </si>
  <si>
    <t>4.3 — Atık Bertarafı</t>
  </si>
  <si>
    <t>Atık Türü</t>
  </si>
  <si>
    <t>Miktar (kg)</t>
  </si>
  <si>
    <t>EF
(kg CO2e/kg)
🟢 Online</t>
  </si>
  <si>
    <t>4.3.1</t>
  </si>
  <si>
    <t>Atık Cam</t>
  </si>
  <si>
    <t>DEFRA 2023</t>
  </si>
  <si>
    <t>4.3.2</t>
  </si>
  <si>
    <t>Atık Kağıt</t>
  </si>
  <si>
    <t>4.3.3</t>
  </si>
  <si>
    <t>Atık Metal</t>
  </si>
  <si>
    <t>4.3.4</t>
  </si>
  <si>
    <t>Atık Piller</t>
  </si>
  <si>
    <t>4.3.5</t>
  </si>
  <si>
    <t>Atık Plastik</t>
  </si>
  <si>
    <t>• CO2e = Miktar (kg) × EF / 1000  →  ton CO2e</t>
  </si>
  <si>
    <t>• Kaynak: DEFRA GHG Conversion Factors 2023</t>
  </si>
  <si>
    <t>4.4 — Kiralanan Ekipmanlar</t>
  </si>
  <si>
    <t>Ekipman Adı</t>
  </si>
  <si>
    <t>4.4.1</t>
  </si>
  <si>
    <t>Televizyon Kiralık</t>
  </si>
  <si>
    <t>• CO2e = (Tutar × EF) / 1000  →  ton CO2e</t>
  </si>
  <si>
    <t>4.5 — Hizmet Alımları</t>
  </si>
  <si>
    <t>Hizmet Adı</t>
  </si>
  <si>
    <t>4.5.1</t>
  </si>
  <si>
    <t>Temizlik Hizmeti</t>
  </si>
  <si>
    <t>4.5.2</t>
  </si>
  <si>
    <t>Güvenlik Hizmeti</t>
  </si>
  <si>
    <t>4.5.3</t>
  </si>
  <si>
    <t>Catering (Yemek)</t>
  </si>
  <si>
    <t>4.5.4</t>
  </si>
  <si>
    <t>Nakliye Hizmeti</t>
  </si>
  <si>
    <t>4.5.5</t>
  </si>
  <si>
    <t>Kargo Hizmeti</t>
  </si>
  <si>
    <t>6.1 — Elektrik İletim &amp; Dağıtım Kayıpları</t>
  </si>
  <si>
    <t>Konum EF
(ton CO2e/MWh)
🟢</t>
  </si>
  <si>
    <t>Pazar EF
(ton CO2e/MWh)
🟢</t>
  </si>
  <si>
    <t>T&amp;D Kayıp EF
(fark)
⚪</t>
  </si>
  <si>
    <t>• CO2e = Tüketim (kWh) / 1000 × T&amp;D Kayıp EF  →  ton CO2e</t>
  </si>
  <si>
    <t>• Kaynak: TEİAŞ / EPDK</t>
  </si>
  <si>
    <t>PERSONEL — Lokasyon &amp; Kişi Sayısı</t>
  </si>
  <si>
    <t>Lokasyon adı ve yıllık ortalama personel sayısını girin. PER_CAPITA sayfası buradan otomatik hesaplar.</t>
  </si>
  <si>
    <t>Lokasyon Adı</t>
  </si>
  <si>
    <t>Personel Sayısı</t>
  </si>
  <si>
    <t>Lokasyon Türü</t>
  </si>
  <si>
    <t>Genel Müdürlük</t>
  </si>
  <si>
    <t>Ofis</t>
  </si>
  <si>
    <t>İstanbul merkez</t>
  </si>
  <si>
    <t>NOTLAR</t>
  </si>
  <si>
    <t>• Her yıl için tüm lokasyonları girin.</t>
  </si>
  <si>
    <t>• Personel sayısı yıllık ortalama kişi sayısıdır.</t>
  </si>
  <si>
    <t>• Lokasyon türü: Ofis | Üretim | Lojistik | Depo | Şube</t>
  </si>
  <si>
    <t>• Bu sayfa PER_CAPITA sayfası tarafından otomatik kullanılır.</t>
  </si>
  <si>
    <t>TOPLAM EMİSYONLAR — Kapsam Özeti</t>
  </si>
  <si>
    <t>Bu sayfa importer çalıştırıldığında otomatik doldurulur. Manuel düzenleme yapmayın.</t>
  </si>
  <si>
    <t>Kapsam / Kategori</t>
  </si>
  <si>
    <t>Açıklama</t>
  </si>
  <si>
    <t>2024 (ton CO2e)</t>
  </si>
  <si>
    <t>2025 (ton CO2e)</t>
  </si>
  <si>
    <t>Değişim (%)</t>
  </si>
  <si>
    <t>Kaynak Sayfası</t>
  </si>
  <si>
    <t>KAPSAM 1</t>
  </si>
  <si>
    <t>Doğrudan Emisyonlar</t>
  </si>
  <si>
    <t>1.1</t>
  </si>
  <si>
    <t>Sabit Yakma</t>
  </si>
  <si>
    <t>1.1_Stationary</t>
  </si>
  <si>
    <t>1.2</t>
  </si>
  <si>
    <t>Hareketli Yakma</t>
  </si>
  <si>
    <t>1.2_Mobile</t>
  </si>
  <si>
    <t>1.4</t>
  </si>
  <si>
    <t>Soğutucu Gazlar</t>
  </si>
  <si>
    <t>1.4_Refrigerants</t>
  </si>
  <si>
    <t>Kapsam 1 Top.</t>
  </si>
  <si>
    <t>Toplam Kapsam 1</t>
  </si>
  <si>
    <t>KAPSAM 2</t>
  </si>
  <si>
    <t>Enerji Dolaylı Emisyonlar</t>
  </si>
  <si>
    <t>2.1</t>
  </si>
  <si>
    <t>Elektrik Tüketimi</t>
  </si>
  <si>
    <t>2.1_Electricity</t>
  </si>
  <si>
    <t>Kapsam 2 Top.</t>
  </si>
  <si>
    <t>Toplam Kapsam 2</t>
  </si>
  <si>
    <t>KAPSAM 3</t>
  </si>
  <si>
    <t>Diğer Dolaylı Emisyonlar</t>
  </si>
  <si>
    <t>3.1</t>
  </si>
  <si>
    <t>3.1_Freight</t>
  </si>
  <si>
    <t>3.2</t>
  </si>
  <si>
    <t>3.2_ProductShipment</t>
  </si>
  <si>
    <t>3.3</t>
  </si>
  <si>
    <t>Personel Ulaşım</t>
  </si>
  <si>
    <t>3.3_Commuting</t>
  </si>
  <si>
    <t>3.4</t>
  </si>
  <si>
    <t>İş Seyahati - Karayolu</t>
  </si>
  <si>
    <t>3.4_BusinessTravel</t>
  </si>
  <si>
    <t>3.5</t>
  </si>
  <si>
    <t>Uçak &amp; Konaklama</t>
  </si>
  <si>
    <t>3.5_FlightsHotels</t>
  </si>
  <si>
    <t>4.1</t>
  </si>
  <si>
    <t>Satın Alınan Malzemeler</t>
  </si>
  <si>
    <t>4.1_Purchased</t>
  </si>
  <si>
    <t>4.2</t>
  </si>
  <si>
    <t>Sermaye Varlıkları</t>
  </si>
  <si>
    <t>4.2_Capital</t>
  </si>
  <si>
    <t>4.3</t>
  </si>
  <si>
    <t>Atık Bertarafı</t>
  </si>
  <si>
    <t>4.3_Waste</t>
  </si>
  <si>
    <t>4.4</t>
  </si>
  <si>
    <t>Kiralanan Ekipmanlar</t>
  </si>
  <si>
    <t>4.4_LeasedEquipment</t>
  </si>
  <si>
    <t>4.5</t>
  </si>
  <si>
    <t>Hizmet Alımları</t>
  </si>
  <si>
    <t>4.5_Services</t>
  </si>
  <si>
    <t>6.1</t>
  </si>
  <si>
    <t>T&amp;D Kayıpları</t>
  </si>
  <si>
    <t>6.1_TDLosses</t>
  </si>
  <si>
    <t>Kapsam 3 Top.</t>
  </si>
  <si>
    <t>Toplam Kapsam 3</t>
  </si>
  <si>
    <t>GENEL TOPLAM</t>
  </si>
  <si>
    <t>Kapsam 1 + 2 + 3</t>
  </si>
  <si>
    <t>ETKİ ANALİZİ — Toplam CO2e'nin %95'ini Oluşturan Kaynaklar</t>
  </si>
  <si>
    <t>İmporter çalıştırıldığında otomatik hesaplanır. En büyük emisyon kaynaklarını öncelik sırasına göre gösterir.</t>
  </si>
  <si>
    <t>Sıra</t>
  </si>
  <si>
    <t>Kapsam</t>
  </si>
  <si>
    <t>CO2e (ton)</t>
  </si>
  <si>
    <t>Toplam İçindeki Pay (%)</t>
  </si>
  <si>
    <t>Kümülatif (%)</t>
  </si>
  <si>
    <t>Kapsam 2</t>
  </si>
  <si>
    <t>Kapsam 1</t>
  </si>
  <si>
    <t>Kapsam 3</t>
  </si>
  <si>
    <t>▲ %95 EŞIĞI (2025) — Aşağıdaki kaynaklar toplam emisyonun %5'inden az</t>
  </si>
  <si>
    <t>KİŞİ BAŞINA EMİSYON — Lokasyon Bazında ton CO2e / Kişi</t>
  </si>
  <si>
    <t>PERSONNEL sayfasındaki lokasyon verileri kullanılarak importer tarafından otomatik hesaplanır.</t>
  </si>
  <si>
    <t>Lokasyon</t>
  </si>
  <si>
    <t>Toplam CO2e (ton)</t>
  </si>
  <si>
    <t>Kapsam 1 CO2e</t>
  </si>
  <si>
    <t>Kapsam 2 CO2e</t>
  </si>
  <si>
    <t>Kapsam 3 CO2e</t>
  </si>
  <si>
    <t>ton CO2e / Kişi</t>
  </si>
  <si>
    <t>Sebil (Operasyon Sızıntı)</t>
  </si>
  <si>
    <t>R134A</t>
  </si>
  <si>
    <t>Buzdolabı (Operasyon Sızıntı)</t>
  </si>
  <si>
    <t>R600A</t>
  </si>
  <si>
    <t>Yangın söndürme Tüpü (Yeni Tüp)</t>
  </si>
  <si>
    <t>HFC227ea</t>
  </si>
  <si>
    <t>ton HFC227ea</t>
  </si>
  <si>
    <t>Elektrik panolarına yapılan ekleme
Yangın söndürme Sistemi (Sızıntı)</t>
  </si>
  <si>
    <t>FK-5-1-12</t>
  </si>
  <si>
    <t>ton FK-5-1-12</t>
  </si>
  <si>
    <t>MWh</t>
  </si>
  <si>
    <t>2024 tüketim</t>
  </si>
  <si>
    <t>3.3.4</t>
  </si>
  <si>
    <t>Home ofis çalışan personel bilgisayarlarının tükettiği elektrik miktarı</t>
  </si>
  <si>
    <t>electric</t>
  </si>
  <si>
    <t>Gün</t>
  </si>
  <si>
    <t>Watt-Saat</t>
  </si>
  <si>
    <t>MW/Watt</t>
  </si>
  <si>
    <t>saat</t>
  </si>
  <si>
    <t>3.3.5</t>
  </si>
  <si>
    <t>Isınma</t>
  </si>
  <si>
    <t>ton CO2e per FTE Working Hour</t>
  </si>
  <si>
    <t xml:space="preserve">Uçak Bileti </t>
  </si>
  <si>
    <t>Konaklama (Hotel)</t>
  </si>
  <si>
    <t>3.5.6</t>
  </si>
  <si>
    <t>Konaklama (Hotel)
Romania</t>
  </si>
  <si>
    <t>Konaklama - İspanya</t>
  </si>
  <si>
    <t>Elektrik iletim ve dağıtım kayıpları (KONUM TEMELLİ)</t>
  </si>
  <si>
    <t>BASKILI MALZEMELER</t>
  </si>
  <si>
    <t>BİLGİ İŞLEM CİHAZLARI</t>
  </si>
  <si>
    <t>BİLGİ İŞLEM NETWORK CİHAZLARI</t>
  </si>
  <si>
    <t>BİLGİ İŞLEM YEDEK PARÇALARI</t>
  </si>
  <si>
    <t>4.1.6</t>
  </si>
  <si>
    <t>EL VE İŞ ALETLERİ</t>
  </si>
  <si>
    <t>4.1.7</t>
  </si>
  <si>
    <t>FOTOKOPİ - PRİNTER MALZEMELERİ</t>
  </si>
  <si>
    <t>4.1.8</t>
  </si>
  <si>
    <t>GIDA MALZEMELERİ</t>
  </si>
  <si>
    <t>4.1.9</t>
  </si>
  <si>
    <t>HABERLEŞME DEMİRBAŞ CİHAZLARI</t>
  </si>
  <si>
    <t>4.1.10</t>
  </si>
  <si>
    <t>İSG KİŞİSEL KORUYUCU DONANIMLARI</t>
  </si>
  <si>
    <t>4.1.11</t>
  </si>
  <si>
    <t>KULLANICI BİLGİSAYARI LİSANSLARI</t>
  </si>
  <si>
    <t>4.1.12</t>
  </si>
  <si>
    <t>MOTORLU ARAÇ DONANIMLARI</t>
  </si>
  <si>
    <t>4.1.13</t>
  </si>
  <si>
    <t>MOTORLU ARAÇ SARF MALZEMELERİ</t>
  </si>
  <si>
    <t>4.1.14</t>
  </si>
  <si>
    <t>OFİS DEMİRBAŞ MALZEMELERİ</t>
  </si>
  <si>
    <t>4.1.15</t>
  </si>
  <si>
    <t>OFİS KIRTASİYE MALZEMELERİ</t>
  </si>
  <si>
    <t>4.1.16</t>
  </si>
  <si>
    <t>OFİS/BİNA SARF MALZEMELERİ</t>
  </si>
  <si>
    <t>4.1.17</t>
  </si>
  <si>
    <t>OPERASYON DEMİRBAŞ MALZEMELERİ</t>
  </si>
  <si>
    <t>4.1.18</t>
  </si>
  <si>
    <t>OPERASYON SARF MALZEMELERİ</t>
  </si>
  <si>
    <t>4.1.19</t>
  </si>
  <si>
    <t>PERSONEL KIYAFETLERİ</t>
  </si>
  <si>
    <t>4.1.20</t>
  </si>
  <si>
    <t>PROMOSYON MALZEMELERİ</t>
  </si>
  <si>
    <t>4.1.21</t>
  </si>
  <si>
    <t>REKLAM VE SPONSORLUK MALZEMELERİ</t>
  </si>
  <si>
    <t>4.1.22</t>
  </si>
  <si>
    <t>SUNUCU DONANIMLARI</t>
  </si>
  <si>
    <t>4.1.23</t>
  </si>
  <si>
    <t>SUNUCU YAZILIM LİSANSLARI VE ONLINE ABONELİKLER</t>
  </si>
  <si>
    <t>4.1.24</t>
  </si>
  <si>
    <t>TARIM DEMİRBAŞ MALZEMELERİ</t>
  </si>
  <si>
    <t>4.1.25</t>
  </si>
  <si>
    <t>TEMİZLİK MALZEMELERİ</t>
  </si>
  <si>
    <t>4.1.26</t>
  </si>
  <si>
    <t>TESİS DEMİRBAŞ MALZEMELERİ</t>
  </si>
  <si>
    <t>4.1.27</t>
  </si>
  <si>
    <t>TESİS VE OPERASYON BAKIM ONARIM MALZEMELERİ</t>
  </si>
  <si>
    <t>4.1.28</t>
  </si>
  <si>
    <t>YEMEKHANE GIDA MALZEMELERİ</t>
  </si>
  <si>
    <t>SupplyChainGHGEmissionFactors_v1.2_NAICS_CO2e_USD2021</t>
  </si>
  <si>
    <t>SupplyChainGHGEmissionFactors_v1.2_NAICS_CO2e_USD2022</t>
  </si>
  <si>
    <t>SupplyChainGHGEmissionFactors_v1.2_NAICS_CO2e_USD2023</t>
  </si>
  <si>
    <t>SupplyChainGHGEmissionFactors_v1.2_NAICS_CO2e_USD2024</t>
  </si>
  <si>
    <t>SupplyChainGHGEmissionFactors_v1.2_NAICS_CO2e_USD2025</t>
  </si>
  <si>
    <t>SupplyChainGHGEmissionFactors_v1.2_NAICS_CO2e_USD2026</t>
  </si>
  <si>
    <t>SupplyChainGHGEmissionFactors_v1.2_NAICS_CO2e_USD2027</t>
  </si>
  <si>
    <t>SupplyChainGHGEmissionFactors_v1.2_NAICS_CO2e_USD2028</t>
  </si>
  <si>
    <t>SupplyChainGHGEmissionFactors_v1.2_NAICS_CO2e_USD2029</t>
  </si>
  <si>
    <t>SupplyChainGHGEmissionFactors_v1.2_NAICS_CO2e_USD2030</t>
  </si>
  <si>
    <t>SupplyChainGHGEmissionFactors_v1.2_NAICS_CO2e_USD2031</t>
  </si>
  <si>
    <t>SupplyChainGHGEmissionFactors_v1.2_NAICS_CO2e_USD2032</t>
  </si>
  <si>
    <t>SupplyChainGHGEmissionFactors_v1.2_NAICS_CO2e_USD2033</t>
  </si>
  <si>
    <t>SupplyChainGHGEmissionFactors_v1.2_NAICS_CO2e_USD2034</t>
  </si>
  <si>
    <t>SupplyChainGHGEmissionFactors_v1.2_NAICS_CO2e_USD2035</t>
  </si>
  <si>
    <t>SupplyChainGHGEmissionFactors_v1.2_NAICS_CO2e_USD2036</t>
  </si>
  <si>
    <t>SupplyChainGHGEmissionFactors_v1.2_NAICS_CO2e_USD2037</t>
  </si>
  <si>
    <t>SupplyChainGHGEmissionFactors_v1.2_NAICS_CO2e_USD2038</t>
  </si>
  <si>
    <t>SupplyChainGHGEmissionFactors_v1.2_NAICS_CO2e_USD2039</t>
  </si>
  <si>
    <t>SupplyChainGHGEmissionFactors_v1.2_NAICS_CO2e_USD2040</t>
  </si>
  <si>
    <t>SupplyChainGHGEmissionFactors_v1.2_NAICS_CO2e_USD2041</t>
  </si>
  <si>
    <t>SupplyChainGHGEmissionFactors_v1.2_NAICS_CO2e_USD2042</t>
  </si>
  <si>
    <t>SupplyChainGHGEmissionFactors_v1.2_NAICS_CO2e_USD2043</t>
  </si>
  <si>
    <t>SupplyChainGHGEmissionFactors_v1.2_NAICS_CO2e_USD2044</t>
  </si>
  <si>
    <t>SupplyChainGHGEmissionFactors_v1.2_NAICS_CO2e_USD2045</t>
  </si>
  <si>
    <t>SupplyChainGHGEmissionFactors_v1.2_NAICS_CO2e_USD2046</t>
  </si>
  <si>
    <t>SupplyChainGHGEmissionFactors_v1.2_NAICS_CO2e_USD2047</t>
  </si>
  <si>
    <t>SupplyChainGHGEmissionFactors_v1.2_NAICS_CO2e_USD2048</t>
  </si>
  <si>
    <t>MWH</t>
  </si>
  <si>
    <t>Ton Kağıt</t>
  </si>
  <si>
    <t>4.2.5</t>
  </si>
  <si>
    <t>4.2.6</t>
  </si>
  <si>
    <t>4.2.7</t>
  </si>
  <si>
    <t>4.2.8</t>
  </si>
  <si>
    <t>4.2.9</t>
  </si>
  <si>
    <t>4.2.10</t>
  </si>
  <si>
    <t>4.2.11</t>
  </si>
  <si>
    <t>ELEKTRONİK - ARGE EKİPMANLARI</t>
  </si>
  <si>
    <t>GÜVENLİK DEMİRBAŞ MALZEMELERİ</t>
  </si>
  <si>
    <t>MOTORLU ARAÇLAR</t>
  </si>
  <si>
    <t>Temizlik</t>
  </si>
  <si>
    <t>Güvenlik</t>
  </si>
  <si>
    <t>Bakım Onarım ve Tadilat İşleri</t>
  </si>
  <si>
    <t>Nakliye Hizmeti (Dizel)</t>
  </si>
  <si>
    <t>GWP(CH4)</t>
  </si>
  <si>
    <t>Ref.</t>
  </si>
  <si>
    <t>CO2e (CH4)</t>
  </si>
  <si>
    <t>GWP(N2O)</t>
  </si>
  <si>
    <t>CO2e (N2O)</t>
  </si>
  <si>
    <t>CO2e</t>
  </si>
  <si>
    <t>FV HAM</t>
  </si>
  <si>
    <t>Yoğunluk Faktörü</t>
  </si>
  <si>
    <t>ToNF</t>
  </si>
  <si>
    <t>FV</t>
  </si>
  <si>
    <t>NKD</t>
  </si>
  <si>
    <t>EF</t>
  </si>
  <si>
    <t>Emisyonlar</t>
  </si>
  <si>
    <t>CO2</t>
  </si>
  <si>
    <t>CH4</t>
  </si>
  <si>
    <t>N2O</t>
  </si>
  <si>
    <t>Değer(ton)</t>
  </si>
  <si>
    <t>Nakliye Hizmetleri
(on-road)</t>
  </si>
  <si>
    <t>dizel</t>
  </si>
  <si>
    <t>kg/L</t>
  </si>
  <si>
    <t>Gg/kg</t>
  </si>
  <si>
    <t>Gg</t>
  </si>
  <si>
    <t>TJ/Gg</t>
  </si>
  <si>
    <t>REF#5</t>
  </si>
  <si>
    <t>Ton/Tj</t>
  </si>
  <si>
    <t>REF#3</t>
  </si>
  <si>
    <t>REF#1</t>
  </si>
  <si>
    <t>Hesaplama Yeri aşağıdadır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</si>
</sst>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6" formatCode="_-&quot;₺&quot;* #,##0.00_-;\-&quot;₺&quot;* #,##0.00_-;_-&quot;₺&quot;* &quot;-&quot;??_-;_-@_-"/>
    <numFmt numFmtId="167" formatCode="_-* #,##0.00_-;\-* #,##0.00_-;_-* &quot;-&quot;??_-;_-@_-"/>
    <numFmt numFmtId="172" formatCode="0.0000"/>
    <numFmt numFmtId="174" formatCode="#,##0.0000"/>
    <numFmt numFmtId="176" formatCode="0.00000"/>
    <numFmt numFmtId="177" formatCode="0.000000"/>
    <numFmt numFmtId="178" formatCode="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i/>
      <sz val="9"/>
      <color rgb="FF595959"/>
      <name val="Arial"/>
    </font>
    <font>
      <sz val="10"/>
      <color rgb="FF00008B"/>
      <name val="Arial"/>
    </font>
    <font>
      <sz val="10"/>
      <color rgb="FF595959"/>
      <name val="Arial"/>
    </font>
    <font>
      <sz val="10"/>
      <color rgb="FF375623"/>
      <name val="Arial"/>
    </font>
    <font>
      <i/>
      <sz val="9"/>
      <color rgb="FF404040"/>
      <name val="Arial"/>
    </font>
    <font>
      <sz val="9"/>
      <color rgb="FF00008B"/>
      <name val="Arial"/>
    </font>
    <font>
      <sz val="9"/>
      <color rgb="FF375623"/>
      <name val="Arial"/>
    </font>
    <font>
      <sz val="9"/>
      <color rgb="FF595959"/>
      <name val="Arial"/>
    </font>
    <font>
      <sz val="9"/>
      <color rgb="FF7B3F00"/>
      <name val="Arial"/>
    </font>
    <font>
      <b/>
      <sz val="10"/>
      <color rgb="FF7B3F00"/>
      <name val="Arial"/>
    </font>
    <font>
      <sz val="10"/>
      <color rgb="FF375623"/>
      <name val="Arial"/>
    </font>
    <font>
      <sz val="10"/>
      <color rgb="FF375623"/>
      <name val="Arial"/>
    </font>
    <font>
      <sz val="10"/>
      <color rgb="FF595959"/>
      <name val="Arial"/>
    </font>
    <font>
      <b/>
      <sz val="10"/>
      <color rgb="FF7B3F00"/>
      <name val="Arial"/>
    </font>
    <font>
      <sz val="10"/>
      <color rgb="FF843C0C"/>
      <name val="Arial"/>
    </font>
    <font>
      <b/>
      <sz val="10"/>
      <color rgb="FFFFFFFF"/>
      <name val="Arial"/>
    </font>
    <font>
      <sz val="10"/>
      <color rgb="FF00008B"/>
      <name val="Arial"/>
    </font>
    <font>
      <b/>
      <sz val="10"/>
      <color rgb="FFFFFFFF"/>
      <name val="Arial"/>
    </font>
    <font>
      <sz val="10"/>
      <color rgb="FF375623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sz val="10"/>
      <color rgb="FF00008B"/>
      <name val="Arial"/>
    </font>
    <font>
      <sz val="10"/>
      <color rgb="FF595959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rgb="FF9C0006"/>
      <name val="Calibri"/>
      <family val="2"/>
      <scheme val="minor"/>
    </font>
    <font>
      <sz val="10"/>
      <color theme="9" tint="-0.499984740745262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rgb="FFFF0000"/>
      <name val="Arial"/>
      <family val="2"/>
    </font>
    <font>
      <u/>
      <sz val="10"/>
      <color theme="11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8"/>
      <color theme="3"/>
      <name val="Cambria"/>
      <family val="2"/>
      <scheme val="major"/>
    </font>
    <font>
      <u/>
      <sz val="10"/>
      <color indexed="12"/>
      <name val="Arial"/>
      <family val="2"/>
    </font>
    <font>
      <sz val="12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38">
    <xf numFmtId="0" fontId="0" fillId="0" borderId="0"/>
    <xf numFmtId="43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0" fontId="35" fillId="0" borderId="0"/>
    <xf numFmtId="0" fontId="29" fillId="30" borderId="0" applyNumberFormat="0" applyBorder="0" applyAlignment="0" applyProtection="0"/>
    <xf numFmtId="0" fontId="29" fillId="34" borderId="0" applyNumberFormat="0" applyBorder="0" applyAlignment="0" applyProtection="0"/>
    <xf numFmtId="0" fontId="29" fillId="38" borderId="0" applyNumberFormat="0" applyBorder="0" applyAlignment="0" applyProtection="0"/>
    <xf numFmtId="0" fontId="29" fillId="42" borderId="0" applyNumberFormat="0" applyBorder="0" applyAlignment="0" applyProtection="0"/>
    <xf numFmtId="0" fontId="29" fillId="46" borderId="0" applyNumberFormat="0" applyBorder="0" applyAlignment="0" applyProtection="0"/>
    <xf numFmtId="0" fontId="29" fillId="50" borderId="0" applyNumberFormat="0" applyBorder="0" applyAlignment="0" applyProtection="0"/>
    <xf numFmtId="0" fontId="29" fillId="31" borderId="0" applyNumberFormat="0" applyBorder="0" applyAlignment="0" applyProtection="0"/>
    <xf numFmtId="0" fontId="29" fillId="35" borderId="0" applyNumberFormat="0" applyBorder="0" applyAlignment="0" applyProtection="0"/>
    <xf numFmtId="0" fontId="29" fillId="39" borderId="0" applyNumberFormat="0" applyBorder="0" applyAlignment="0" applyProtection="0"/>
    <xf numFmtId="0" fontId="29" fillId="43" borderId="0" applyNumberFormat="0" applyBorder="0" applyAlignment="0" applyProtection="0"/>
    <xf numFmtId="0" fontId="29" fillId="47" borderId="0" applyNumberFormat="0" applyBorder="0" applyAlignment="0" applyProtection="0"/>
    <xf numFmtId="0" fontId="29" fillId="51" borderId="0" applyNumberFormat="0" applyBorder="0" applyAlignment="0" applyProtection="0"/>
    <xf numFmtId="0" fontId="29" fillId="32" borderId="0" applyNumberFormat="0" applyBorder="0" applyAlignment="0" applyProtection="0"/>
    <xf numFmtId="0" fontId="29" fillId="36" borderId="0" applyNumberFormat="0" applyBorder="0" applyAlignment="0" applyProtection="0"/>
    <xf numFmtId="0" fontId="29" fillId="40" borderId="0" applyNumberFormat="0" applyBorder="0" applyAlignment="0" applyProtection="0"/>
    <xf numFmtId="0" fontId="29" fillId="44" borderId="0" applyNumberFormat="0" applyBorder="0" applyAlignment="0" applyProtection="0"/>
    <xf numFmtId="0" fontId="29" fillId="48" borderId="0" applyNumberFormat="0" applyBorder="0" applyAlignment="0" applyProtection="0"/>
    <xf numFmtId="0" fontId="29" fillId="52" borderId="0" applyNumberFormat="0" applyBorder="0" applyAlignment="0" applyProtection="0"/>
    <xf numFmtId="0" fontId="33" fillId="29" borderId="0" applyNumberFormat="0" applyBorder="0" applyAlignment="0" applyProtection="0"/>
    <xf numFmtId="0" fontId="33" fillId="33" borderId="0" applyNumberFormat="0" applyBorder="0" applyAlignment="0" applyProtection="0"/>
    <xf numFmtId="0" fontId="33" fillId="37" borderId="0" applyNumberFormat="0" applyBorder="0" applyAlignment="0" applyProtection="0"/>
    <xf numFmtId="0" fontId="33" fillId="41" borderId="0" applyNumberFormat="0" applyBorder="0" applyAlignment="0" applyProtection="0"/>
    <xf numFmtId="0" fontId="33" fillId="45" borderId="0" applyNumberFormat="0" applyBorder="0" applyAlignment="0" applyProtection="0"/>
    <xf numFmtId="0" fontId="33" fillId="49" borderId="0" applyNumberFormat="0" applyBorder="0" applyAlignment="0" applyProtection="0"/>
    <xf numFmtId="0" fontId="38" fillId="25" borderId="0" applyNumberFormat="0" applyBorder="0" applyAlignment="0" applyProtection="0"/>
    <xf numFmtId="0" fontId="36" fillId="54" borderId="25" applyNumberFormat="0" applyAlignment="0" applyProtection="0"/>
    <xf numFmtId="0" fontId="39" fillId="55" borderId="6" applyNumberFormat="0" applyProtection="0">
      <alignment vertical="center"/>
    </xf>
    <xf numFmtId="0" fontId="40" fillId="27" borderId="10" applyNumberFormat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24" borderId="0" applyNumberFormat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6" fillId="56" borderId="9" applyNumberFormat="0" applyBorder="0" applyAlignment="0" applyProtection="0"/>
    <xf numFmtId="0" fontId="36" fillId="57" borderId="0">
      <alignment vertical="center"/>
    </xf>
    <xf numFmtId="0" fontId="36" fillId="53" borderId="26" applyNumberFormat="0" applyAlignment="0" applyProtection="0"/>
    <xf numFmtId="0" fontId="44" fillId="26" borderId="0" applyNumberFormat="0" applyBorder="0" applyAlignment="0" applyProtection="0"/>
    <xf numFmtId="0" fontId="35" fillId="28" borderId="11" applyNumberFormat="0" applyFont="0" applyAlignment="0" applyProtection="0"/>
    <xf numFmtId="0" fontId="45" fillId="58" borderId="27" applyNumberFormat="0" applyAlignment="0" applyProtection="0"/>
    <xf numFmtId="9" fontId="46" fillId="0" borderId="0" applyFont="0" applyFill="0" applyBorder="0" applyAlignment="0" applyProtection="0"/>
    <xf numFmtId="0" fontId="36" fillId="59" borderId="28" applyNumberFormat="0" applyProtection="0">
      <alignment vertical="center"/>
    </xf>
    <xf numFmtId="0" fontId="47" fillId="0" borderId="0" applyNumberFormat="0" applyFill="0" applyBorder="0" applyAlignment="0" applyProtection="0"/>
    <xf numFmtId="0" fontId="45" fillId="60" borderId="0" applyNumberFormat="0" applyBorder="0" applyAlignment="0" applyProtection="0"/>
    <xf numFmtId="0" fontId="49" fillId="0" borderId="0">
      <alignment vertical="center" wrapText="1"/>
    </xf>
    <xf numFmtId="9" fontId="36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29" fillId="30" borderId="0" applyNumberFormat="0" applyBorder="0" applyAlignment="0" applyProtection="0"/>
    <xf numFmtId="0" fontId="29" fillId="34" borderId="0" applyNumberFormat="0" applyBorder="0" applyAlignment="0" applyProtection="0"/>
    <xf numFmtId="0" fontId="29" fillId="38" borderId="0" applyNumberFormat="0" applyBorder="0" applyAlignment="0" applyProtection="0"/>
    <xf numFmtId="0" fontId="29" fillId="42" borderId="0" applyNumberFormat="0" applyBorder="0" applyAlignment="0" applyProtection="0"/>
    <xf numFmtId="0" fontId="29" fillId="46" borderId="0" applyNumberFormat="0" applyBorder="0" applyAlignment="0" applyProtection="0"/>
    <xf numFmtId="0" fontId="29" fillId="50" borderId="0" applyNumberFormat="0" applyBorder="0" applyAlignment="0" applyProtection="0"/>
    <xf numFmtId="0" fontId="29" fillId="31" borderId="0" applyNumberFormat="0" applyBorder="0" applyAlignment="0" applyProtection="0"/>
    <xf numFmtId="0" fontId="29" fillId="35" borderId="0" applyNumberFormat="0" applyBorder="0" applyAlignment="0" applyProtection="0"/>
    <xf numFmtId="0" fontId="29" fillId="39" borderId="0" applyNumberFormat="0" applyBorder="0" applyAlignment="0" applyProtection="0"/>
    <xf numFmtId="0" fontId="29" fillId="43" borderId="0" applyNumberFormat="0" applyBorder="0" applyAlignment="0" applyProtection="0"/>
    <xf numFmtId="0" fontId="29" fillId="47" borderId="0" applyNumberFormat="0" applyBorder="0" applyAlignment="0" applyProtection="0"/>
    <xf numFmtId="0" fontId="29" fillId="51" borderId="0" applyNumberFormat="0" applyBorder="0" applyAlignment="0" applyProtection="0"/>
    <xf numFmtId="0" fontId="29" fillId="32" borderId="0" applyNumberFormat="0" applyBorder="0" applyAlignment="0" applyProtection="0"/>
    <xf numFmtId="0" fontId="29" fillId="36" borderId="0" applyNumberFormat="0" applyBorder="0" applyAlignment="0" applyProtection="0"/>
    <xf numFmtId="0" fontId="29" fillId="40" borderId="0" applyNumberFormat="0" applyBorder="0" applyAlignment="0" applyProtection="0"/>
    <xf numFmtId="0" fontId="29" fillId="44" borderId="0" applyNumberFormat="0" applyBorder="0" applyAlignment="0" applyProtection="0"/>
    <xf numFmtId="0" fontId="29" fillId="48" borderId="0" applyNumberFormat="0" applyBorder="0" applyAlignment="0" applyProtection="0"/>
    <xf numFmtId="0" fontId="29" fillId="52" borderId="0" applyNumberFormat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5" fillId="0" borderId="0"/>
    <xf numFmtId="0" fontId="35" fillId="0" borderId="0"/>
    <xf numFmtId="167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35" fillId="0" borderId="0" applyFont="0" applyFill="0" applyBorder="0" applyAlignment="0" applyProtection="0"/>
    <xf numFmtId="167" fontId="35" fillId="0" borderId="0" applyFont="0" applyFill="0" applyBorder="0" applyAlignment="0" applyProtection="0"/>
  </cellStyleXfs>
  <cellXfs count="10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1" fillId="0" borderId="0" xfId="0" applyFont="1" applyAlignment="1">
      <alignment horizontal="left" vertical="center"/>
    </xf>
    <xf numFmtId="0" fontId="0" fillId="8" borderId="1" xfId="0" applyFill="1" applyBorder="1"/>
    <xf numFmtId="0" fontId="12" fillId="0" borderId="0" xfId="0" applyFont="1" applyAlignment="1">
      <alignment horizontal="left" vertical="center"/>
    </xf>
    <xf numFmtId="0" fontId="0" fillId="7" borderId="1" xfId="0" applyFill="1" applyBorder="1"/>
    <xf numFmtId="0" fontId="13" fillId="0" borderId="0" xfId="0" applyFont="1" applyAlignment="1">
      <alignment horizontal="left" vertical="center"/>
    </xf>
    <xf numFmtId="0" fontId="0" fillId="9" borderId="1" xfId="0" applyFill="1" applyBorder="1"/>
    <xf numFmtId="0" fontId="14" fillId="0" borderId="0" xfId="0" applyFont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0" fillId="3" borderId="0" xfId="0" applyFill="1"/>
    <xf numFmtId="0" fontId="16" fillId="11" borderId="4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19" fillId="14" borderId="5" xfId="0" applyFont="1" applyFill="1" applyBorder="1" applyAlignment="1">
      <alignment horizontal="center" vertical="center"/>
    </xf>
    <xf numFmtId="0" fontId="20" fillId="16" borderId="5" xfId="0" applyFont="1" applyFill="1" applyBorder="1" applyAlignment="1">
      <alignment horizontal="center" vertical="center"/>
    </xf>
    <xf numFmtId="0" fontId="0" fillId="15" borderId="0" xfId="0" applyFill="1"/>
    <xf numFmtId="0" fontId="22" fillId="18" borderId="5" xfId="0" applyFont="1" applyFill="1" applyBorder="1" applyAlignment="1">
      <alignment horizontal="center" vertical="center"/>
    </xf>
    <xf numFmtId="0" fontId="0" fillId="15" borderId="1" xfId="0" applyFill="1" applyBorder="1"/>
    <xf numFmtId="0" fontId="11" fillId="15" borderId="0" xfId="0" applyFont="1" applyFill="1" applyAlignment="1">
      <alignment horizontal="left" vertical="center"/>
    </xf>
    <xf numFmtId="0" fontId="12" fillId="15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left" vertical="center"/>
    </xf>
    <xf numFmtId="0" fontId="14" fillId="15" borderId="0" xfId="0" applyFont="1" applyFill="1" applyAlignment="1">
      <alignment horizontal="left" vertical="center"/>
    </xf>
    <xf numFmtId="0" fontId="0" fillId="0" borderId="3" xfId="0" applyBorder="1"/>
    <xf numFmtId="0" fontId="23" fillId="19" borderId="6" xfId="0" applyFont="1" applyFill="1" applyBorder="1" applyAlignment="1">
      <alignment horizontal="center" vertical="center" wrapText="1"/>
    </xf>
    <xf numFmtId="0" fontId="24" fillId="20" borderId="6" xfId="0" applyFont="1" applyFill="1" applyBorder="1" applyAlignment="1">
      <alignment horizontal="center" vertical="center"/>
    </xf>
    <xf numFmtId="0" fontId="23" fillId="22" borderId="6" xfId="0" applyFont="1" applyFill="1" applyBorder="1" applyAlignment="1">
      <alignment horizontal="center" vertical="center" wrapText="1"/>
    </xf>
    <xf numFmtId="0" fontId="27" fillId="23" borderId="6" xfId="0" applyFont="1" applyFill="1" applyBorder="1" applyAlignment="1">
      <alignment horizontal="center" vertical="center"/>
    </xf>
    <xf numFmtId="0" fontId="28" fillId="21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6" fillId="5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center" vertical="center"/>
    </xf>
    <xf numFmtId="0" fontId="23" fillId="19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26" fillId="21" borderId="0" xfId="0" applyFont="1" applyFill="1" applyAlignment="1">
      <alignment horizontal="left" vertical="center"/>
    </xf>
    <xf numFmtId="0" fontId="26" fillId="21" borderId="0" xfId="0" applyFont="1" applyFill="1" applyAlignment="1">
      <alignment horizontal="left" vertical="center" wrapText="1"/>
    </xf>
    <xf numFmtId="0" fontId="25" fillId="19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left" vertical="center" indent="1"/>
    </xf>
    <xf numFmtId="0" fontId="21" fillId="17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inden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23" borderId="6" xfId="0" applyFont="1" applyFill="1" applyBorder="1" applyAlignment="1">
      <alignment horizontal="center" vertical="center"/>
    </xf>
    <xf numFmtId="0" fontId="9" fillId="20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0" fillId="0" borderId="0" xfId="0"/>
    <xf numFmtId="0" fontId="18" fillId="13" borderId="6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4" fontId="9" fillId="8" borderId="6" xfId="0" applyNumberFormat="1" applyFont="1" applyFill="1" applyBorder="1" applyAlignment="1">
      <alignment horizontal="center" vertical="center"/>
    </xf>
    <xf numFmtId="43" fontId="0" fillId="0" borderId="13" xfId="1" applyFont="1" applyBorder="1"/>
    <xf numFmtId="0" fontId="7" fillId="6" borderId="1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27" fillId="23" borderId="6" xfId="0" applyFont="1" applyFill="1" applyBorder="1" applyAlignment="1">
      <alignment horizontal="center" vertical="center" wrapText="1"/>
    </xf>
    <xf numFmtId="0" fontId="22" fillId="18" borderId="6" xfId="0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 wrapText="1"/>
    </xf>
    <xf numFmtId="4" fontId="7" fillId="6" borderId="6" xfId="0" applyNumberFormat="1" applyFont="1" applyFill="1" applyBorder="1" applyAlignment="1">
      <alignment horizontal="center" vertical="center"/>
    </xf>
    <xf numFmtId="0" fontId="0" fillId="0" borderId="0" xfId="0"/>
    <xf numFmtId="0" fontId="30" fillId="0" borderId="20" xfId="0" applyFont="1" applyBorder="1" applyAlignment="1">
      <alignment horizontal="center"/>
    </xf>
    <xf numFmtId="176" fontId="1" fillId="0" borderId="13" xfId="1" applyNumberFormat="1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30" fillId="0" borderId="0" xfId="0" applyFont="1"/>
    <xf numFmtId="0" fontId="0" fillId="0" borderId="13" xfId="0" applyBorder="1"/>
    <xf numFmtId="0" fontId="30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30" fillId="0" borderId="13" xfId="0" applyFont="1" applyBorder="1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0" xfId="0" applyFont="1"/>
    <xf numFmtId="0" fontId="1" fillId="0" borderId="13" xfId="0" applyFont="1" applyBorder="1" applyAlignment="1">
      <alignment horizontal="left" vertical="center"/>
    </xf>
    <xf numFmtId="174" fontId="1" fillId="0" borderId="13" xfId="0" applyNumberFormat="1" applyFont="1" applyBorder="1" applyAlignment="1">
      <alignment horizontal="center" vertical="center"/>
    </xf>
    <xf numFmtId="177" fontId="0" fillId="0" borderId="13" xfId="0" applyNumberFormat="1" applyBorder="1"/>
    <xf numFmtId="2" fontId="1" fillId="0" borderId="13" xfId="0" applyNumberFormat="1" applyFont="1" applyBorder="1"/>
    <xf numFmtId="0" fontId="30" fillId="0" borderId="13" xfId="0" applyFont="1" applyBorder="1" applyAlignment="1">
      <alignment horizontal="center" vertical="center"/>
    </xf>
    <xf numFmtId="178" fontId="1" fillId="0" borderId="13" xfId="0" applyNumberFormat="1" applyFont="1" applyBorder="1" applyAlignment="1">
      <alignment horizontal="center" vertical="center"/>
    </xf>
  </cellXfs>
  <cellStyles count="138">
    <cellStyle name="%20 - Vurgu1 2" xfId="6" xr:uid="{F2FD1F3F-CFAB-40F4-AFD0-8CFD424CBBA4}"/>
    <cellStyle name="%20 - Vurgu2 2" xfId="7" xr:uid="{0B30E744-B3D7-4FF0-B6AA-B8E9AE666ED5}"/>
    <cellStyle name="%20 - Vurgu3 2" xfId="8" xr:uid="{90B1E27F-2F7D-434F-9137-0F70174B8749}"/>
    <cellStyle name="%20 - Vurgu4 2" xfId="9" xr:uid="{26A57E0F-8B0E-47F9-9939-1E57F646C2EC}"/>
    <cellStyle name="%20 - Vurgu5 2" xfId="10" xr:uid="{EB2C1055-23C8-4135-9CBF-36D4C9D8A5FC}"/>
    <cellStyle name="%20 - Vurgu6 2" xfId="11" xr:uid="{E326A648-CE1F-4B50-BA8A-42EA4DD1B803}"/>
    <cellStyle name="%40 - Vurgu1 2" xfId="12" xr:uid="{90AAA009-3D7B-4635-ADFC-6222422AB343}"/>
    <cellStyle name="%40 - Vurgu2 2" xfId="13" xr:uid="{44221802-CC0C-4E8C-A5AD-8BC6485401C5}"/>
    <cellStyle name="%40 - Vurgu3 2" xfId="14" xr:uid="{215F5AC5-0C8A-4651-80B1-9B352E04B05D}"/>
    <cellStyle name="%40 - Vurgu4 2" xfId="15" xr:uid="{F7679094-7497-466B-B785-183E0CBA2386}"/>
    <cellStyle name="%40 - Vurgu5 2" xfId="16" xr:uid="{0FB9C0F0-D278-4FBE-BAD0-0373B4C895F2}"/>
    <cellStyle name="%40 - Vurgu6 2" xfId="17" xr:uid="{DB054DD3-CE18-408E-95E1-7FDB13AF6996}"/>
    <cellStyle name="%60 - Vurgu1 2" xfId="18" xr:uid="{A9AB20ED-ADB9-43F4-B13B-EB34EEF9D4B4}"/>
    <cellStyle name="%60 - Vurgu2 2" xfId="19" xr:uid="{806DEABB-F4B1-4FB5-B724-8CE24EF22C84}"/>
    <cellStyle name="%60 - Vurgu3 2" xfId="20" xr:uid="{3AD7048E-57A5-4485-A720-ED8A6F607AE1}"/>
    <cellStyle name="%60 - Vurgu4 2" xfId="21" xr:uid="{145E669A-4E1B-4646-A28C-CDEBC2ACB9BB}"/>
    <cellStyle name="%60 - Vurgu5 2" xfId="22" xr:uid="{F7F8B865-89B5-4192-8700-DB2D52C2A991}"/>
    <cellStyle name="%60 - Vurgu6 2" xfId="23" xr:uid="{669D392F-910F-4C27-A974-910FF3FC341E}"/>
    <cellStyle name="20% - Accent1 2" xfId="53" xr:uid="{6DA6D01F-B963-45E4-85CD-96DEAB3C172B}"/>
    <cellStyle name="20% - Accent2 2" xfId="54" xr:uid="{4DF22906-4139-4ED4-8F5A-D3B2BE029FC0}"/>
    <cellStyle name="20% - Accent3 2" xfId="55" xr:uid="{F1B030F9-9E90-4A89-9CA2-792F7AE5B1B1}"/>
    <cellStyle name="20% - Accent4 2" xfId="56" xr:uid="{49872603-88D0-4CB4-9062-BEA67006F5DB}"/>
    <cellStyle name="20% - Accent5 2" xfId="57" xr:uid="{D1AE0231-1956-4852-AE3A-10C08D4F3384}"/>
    <cellStyle name="20% - Accent6 2" xfId="58" xr:uid="{9BF7BA9D-61A1-4C59-8544-B72728EAF155}"/>
    <cellStyle name="40% - Accent1 2" xfId="59" xr:uid="{E6CFD165-B407-43F5-BD18-B28FFC75CB8B}"/>
    <cellStyle name="40% - Accent2 2" xfId="60" xr:uid="{7022F5C6-D24F-4635-B14C-612F5A56F488}"/>
    <cellStyle name="40% - Accent3 2" xfId="61" xr:uid="{6DF62846-8F41-4ACF-8216-2EF8D9F6E282}"/>
    <cellStyle name="40% - Accent4 2" xfId="62" xr:uid="{EDD39839-CCF9-47DF-B896-414DF9CA0486}"/>
    <cellStyle name="40% - Accent5 2" xfId="63" xr:uid="{24E3243A-C7AA-4719-B9B6-53D7941FBB0F}"/>
    <cellStyle name="40% - Accent6 2" xfId="64" xr:uid="{51A5C4CC-EE0F-4D4A-9C93-1917B4A85446}"/>
    <cellStyle name="60% - Accent1 2" xfId="65" xr:uid="{10B9D377-A51A-433A-9C2B-8BC358AE9B48}"/>
    <cellStyle name="60% - Accent2 2" xfId="66" xr:uid="{2D4AC8C6-754E-4036-BF9F-21D7545A99E5}"/>
    <cellStyle name="60% - Accent3 2" xfId="67" xr:uid="{F90C1933-1501-4966-96F2-79B837571506}"/>
    <cellStyle name="60% - Accent4 2" xfId="68" xr:uid="{AB0A529F-8DB7-445D-88E6-C820D675ECB9}"/>
    <cellStyle name="60% - Accent5 2" xfId="69" xr:uid="{695354F3-CB2A-4D8F-96DD-6D7E046DF74B}"/>
    <cellStyle name="60% - Accent6 2" xfId="70" xr:uid="{C140DEE6-2018-425C-9B0C-3A071CDC6A4E}"/>
    <cellStyle name="Açıklama Metni 2" xfId="36" xr:uid="{1A38277C-6756-421A-96C1-68F273F75573}"/>
    <cellStyle name="Ana Başlık 2" xfId="48" xr:uid="{1077FD0D-D478-4272-B6CF-A4CC6EEDF638}"/>
    <cellStyle name="Bağlı Hücre 2" xfId="42" xr:uid="{7DBE6370-0E99-4A12-AB2F-F87C983AA8B1}"/>
    <cellStyle name="Calculation 2" xfId="32" xr:uid="{8AFC5084-C814-4732-9533-E3CD680D6888}"/>
    <cellStyle name="Comma 2" xfId="35" xr:uid="{7636B363-D2CB-4F3B-A9D7-2CFDB49CB740}"/>
    <cellStyle name="Comma 2 2" xfId="72" xr:uid="{5E949DC5-0118-40F4-BA64-9F56B3BAC63F}"/>
    <cellStyle name="Comma 2 2 2" xfId="84" xr:uid="{A5DAF011-8F9B-4CDF-B3A3-FFA55D75F44E}"/>
    <cellStyle name="Comma 2 2 2 2" xfId="108" xr:uid="{797C1D0C-8ADD-487D-8FC9-54C7ACF5746D}"/>
    <cellStyle name="Comma 2 2 2 3" xfId="132" xr:uid="{18F035BC-910A-4D85-A5F9-E66D0C650D9E}"/>
    <cellStyle name="Comma 2 2 3" xfId="96" xr:uid="{B6780ACA-6E66-4902-B591-BF98BF95DA12}"/>
    <cellStyle name="Comma 2 2 4" xfId="120" xr:uid="{F5D793AD-3010-43AD-B466-C73214B410FA}"/>
    <cellStyle name="Comma 2 3" xfId="77" xr:uid="{21A01B09-BFB6-464C-B1F2-850E98BF80B0}"/>
    <cellStyle name="Comma 2 3 2" xfId="89" xr:uid="{D86B3FEC-1B74-4F1E-9C40-7D10E84EDF77}"/>
    <cellStyle name="Comma 2 3 2 2" xfId="113" xr:uid="{59611582-0B0A-45BD-A23B-F51DC11BE6B9}"/>
    <cellStyle name="Comma 2 3 2 3" xfId="137" xr:uid="{09616741-4916-44CF-8028-BDB99193D859}"/>
    <cellStyle name="Comma 2 3 3" xfId="101" xr:uid="{9A12923B-4FE4-45E8-A796-87BA138FC127}"/>
    <cellStyle name="Comma 2 3 4" xfId="125" xr:uid="{88B3077B-BB0B-4EBB-A4C5-3189EC7D9599}"/>
    <cellStyle name="Comma 2 4" xfId="82" xr:uid="{ADF81ACA-70A1-4A01-9659-92878046D8F8}"/>
    <cellStyle name="Comma 2 4 2" xfId="106" xr:uid="{735D1271-259C-437B-BE29-3196439F280D}"/>
    <cellStyle name="Comma 2 4 3" xfId="130" xr:uid="{D812963B-70A2-4E8D-AF6B-D7B4C60D6C3B}"/>
    <cellStyle name="Comma 2 5" xfId="94" xr:uid="{4DB0910B-3C88-4AE2-AD45-E9D883E4B29A}"/>
    <cellStyle name="Comma 2 6" xfId="118" xr:uid="{8DC00B8C-4056-4B60-A945-05A583758898}"/>
    <cellStyle name="Comma 3" xfId="71" xr:uid="{699B6EFE-5C11-4873-9F1A-2085182D3A46}"/>
    <cellStyle name="Comma 3 2" xfId="83" xr:uid="{B1C8B26C-83A3-4DFF-B8F9-6269747C7501}"/>
    <cellStyle name="Comma 3 2 2" xfId="107" xr:uid="{343D0C25-382C-49D3-AE2F-EA457BDB7D1A}"/>
    <cellStyle name="Comma 3 2 3" xfId="131" xr:uid="{F238CDA5-744E-4784-866E-A36063F9D603}"/>
    <cellStyle name="Comma 3 3" xfId="95" xr:uid="{1F2CADCA-621E-485B-BDFB-6ECAD44CFBB3}"/>
    <cellStyle name="Comma 3 4" xfId="119" xr:uid="{2ACD25BA-6D99-4166-BCEC-4BB265488257}"/>
    <cellStyle name="Çıkış 2" xfId="45" xr:uid="{643CFECB-A799-49FF-87A3-1A05BC9FFC58}"/>
    <cellStyle name="Giriş 2" xfId="40" xr:uid="{758ADD5C-BC2E-4A1C-984C-25B8ADFAEE97}"/>
    <cellStyle name="Hesaplama 2" xfId="31" xr:uid="{57935E5A-EDB0-458F-B53A-104B4FA9EC33}"/>
    <cellStyle name="Hyperlink 2" xfId="52" xr:uid="{813B7726-4811-4151-A6D6-690F22E07501}"/>
    <cellStyle name="Input data" xfId="41" xr:uid="{35B84B2E-C39B-44F8-A464-C0A56EB6904B}"/>
    <cellStyle name="İşaretli Hücre 2" xfId="33" xr:uid="{D7818DC3-C91F-4377-9116-99DA2280B311}"/>
    <cellStyle name="İyi 2" xfId="38" xr:uid="{F9F9CDDC-F154-42BB-BCBD-F12CE45C6915}"/>
    <cellStyle name="İzlenen Köprü 2" xfId="37" xr:uid="{DA5A071F-31CC-4A39-8E48-371793BA9151}"/>
    <cellStyle name="Köprü 2" xfId="39" xr:uid="{B080DACE-F5D4-4B89-B6B2-68C9F7D17C3F}"/>
    <cellStyle name="Kötü 2" xfId="30" xr:uid="{D00183DA-EB2E-4978-AE96-98B3D46CCBC9}"/>
    <cellStyle name="Normal" xfId="0" builtinId="0"/>
    <cellStyle name="Normal 2" xfId="5" xr:uid="{2161826D-B271-4107-B155-0370ED8DDCC0}"/>
    <cellStyle name="Normal 2 4" xfId="74" xr:uid="{3AE409AF-FA63-4F51-8EA6-B91651505039}"/>
    <cellStyle name="Normal 4" xfId="50" xr:uid="{EFA15754-7FEB-4DF2-B93E-EAECFF38C3CF}"/>
    <cellStyle name="Normal 5" xfId="73" xr:uid="{BBD5A52F-A34E-4B32-A103-83240287D561}"/>
    <cellStyle name="Not 2" xfId="44" xr:uid="{02451F97-B044-4EA8-A9B1-8ADF0B517C61}"/>
    <cellStyle name="Nötr 2" xfId="43" xr:uid="{3C1CC3B7-FF3A-4989-8AA3-A4973FD4C9CB}"/>
    <cellStyle name="ParaBirimi 2" xfId="4" xr:uid="{047F4054-AED7-4A40-B2A9-A425348DE1EE}"/>
    <cellStyle name="ParaBirimi 2 2" xfId="87" xr:uid="{041D6E34-553D-4C40-BF8F-4EC5284D791C}"/>
    <cellStyle name="ParaBirimi 2 2 2" xfId="111" xr:uid="{15FABCD5-F79F-477D-94A0-DF9598866AC9}"/>
    <cellStyle name="ParaBirimi 2 2 3" xfId="135" xr:uid="{0B5127A3-6FE3-44C3-A47F-DAE44B829923}"/>
    <cellStyle name="ParaBirimi 2 3" xfId="99" xr:uid="{C910EA8C-65AE-41D4-B330-5EBFE0A9BE4E}"/>
    <cellStyle name="ParaBirimi 2 4" xfId="123" xr:uid="{E47F7825-CFD6-4E5E-99A2-A74080911EDE}"/>
    <cellStyle name="ParaBirimi 3" xfId="80" xr:uid="{FA80B760-3334-4957-9778-C5A77904B3D7}"/>
    <cellStyle name="ParaBirimi 3 2" xfId="104" xr:uid="{6463BE71-0B05-4511-8440-CAFDFC8625F3}"/>
    <cellStyle name="ParaBirimi 3 3" xfId="128" xr:uid="{96DF4E1E-93CB-4709-8E22-BD71B7BE85BB}"/>
    <cellStyle name="ParaBirimi 4" xfId="92" xr:uid="{07A1674B-9843-46EA-9EC2-8B90E80F8D8F}"/>
    <cellStyle name="ParaBirimi 5" xfId="116" xr:uid="{C7813E25-AA5D-47AE-A6D8-6947A1CA05BB}"/>
    <cellStyle name="Percent 2" xfId="46" xr:uid="{BD058710-9695-4FBF-9664-A0A131533C01}"/>
    <cellStyle name="Percent 3" xfId="51" xr:uid="{52BF641C-2AD6-47B8-A333-90D7F185915E}"/>
    <cellStyle name="Selection" xfId="47" xr:uid="{8B461BD1-7759-4F82-8051-59B141C2035B}"/>
    <cellStyle name="Uyarı Metni 2" xfId="49" xr:uid="{26E52571-DC1B-49A7-87FA-D568EA9F7D73}"/>
    <cellStyle name="Virgül" xfId="1" builtinId="3"/>
    <cellStyle name="Virgül 2" xfId="3" xr:uid="{F2DA9C4A-CAB5-41C6-B2B5-354B76BF1702}"/>
    <cellStyle name="Virgül 2 2" xfId="75" xr:uid="{02898F48-FFE1-4AF8-9518-029BF48F1644}"/>
    <cellStyle name="Virgül 2 2 2" xfId="86" xr:uid="{A3E43799-7631-4389-94FD-454BEEF8E293}"/>
    <cellStyle name="Virgül 2 2 2 2" xfId="110" xr:uid="{A0007CD9-8C8C-4F13-9242-9198BF0671D2}"/>
    <cellStyle name="Virgül 2 2 2 3" xfId="134" xr:uid="{85CE0AC6-6587-43A3-BF47-045BAC3CD7DD}"/>
    <cellStyle name="Virgül 2 2 3" xfId="98" xr:uid="{911E34B8-C0FE-4FE9-B543-FF6FF29CFFE5}"/>
    <cellStyle name="Virgül 2 2 4" xfId="122" xr:uid="{CC1BBE2B-559D-438B-A99B-27F49E8B8863}"/>
    <cellStyle name="Virgül 2 3" xfId="79" xr:uid="{331FC9E5-9CEF-469D-859D-5BC1BAF70AB0}"/>
    <cellStyle name="Virgül 2 3 2" xfId="103" xr:uid="{122A997E-6E76-4460-B12B-0F4A16E2FD6A}"/>
    <cellStyle name="Virgül 2 3 3" xfId="127" xr:uid="{6D6735C7-91BB-46AF-8C31-5134DAF14CBD}"/>
    <cellStyle name="Virgül 2 4" xfId="91" xr:uid="{ED3D6B61-7CE3-4720-847A-181C10ED7CDB}"/>
    <cellStyle name="Virgül 2 5" xfId="115" xr:uid="{A540494C-A26B-4C1A-A6C3-11889E7589C7}"/>
    <cellStyle name="Virgül 3" xfId="34" xr:uid="{A7114751-7C0B-49E6-A11C-FDD4A68861A3}"/>
    <cellStyle name="Virgül 3 2" xfId="76" xr:uid="{F7D6889C-B739-455F-AEE6-54D407C8FD2F}"/>
    <cellStyle name="Virgül 3 2 2" xfId="88" xr:uid="{5C47E140-334F-4BB6-8706-C7A9769ACCD5}"/>
    <cellStyle name="Virgül 3 2 2 2" xfId="112" xr:uid="{20222DC1-3280-433E-B0A6-7F91A8D1C100}"/>
    <cellStyle name="Virgül 3 2 2 3" xfId="136" xr:uid="{D6E35476-92D1-4FB8-A683-EB687CD01006}"/>
    <cellStyle name="Virgül 3 2 3" xfId="100" xr:uid="{4D6D24EF-9D41-430C-9E1E-A4B7872D4989}"/>
    <cellStyle name="Virgül 3 2 4" xfId="124" xr:uid="{867F9D4E-926A-4486-A909-929F43334873}"/>
    <cellStyle name="Virgül 3 3" xfId="81" xr:uid="{35AA9D6A-27C3-45AB-AED1-8A41BA349E9F}"/>
    <cellStyle name="Virgül 3 3 2" xfId="105" xr:uid="{7CB37B0A-17C5-48BD-9579-F6BFC7F0EFB1}"/>
    <cellStyle name="Virgül 3 3 3" xfId="129" xr:uid="{374D1AEC-A0F2-42C1-A2D1-52E345816EF1}"/>
    <cellStyle name="Virgül 3 4" xfId="93" xr:uid="{8D044551-FD1E-45AA-9DBD-0F6EB47F5A34}"/>
    <cellStyle name="Virgül 3 5" xfId="117" xr:uid="{01865021-5E48-451F-A7F9-011282F15CA1}"/>
    <cellStyle name="Virgül 4" xfId="2" xr:uid="{581EA87D-3344-4D42-9013-B957F9F7378E}"/>
    <cellStyle name="Virgül 4 2" xfId="85" xr:uid="{7D5204FC-FC8A-4BA7-A727-A8713EC1EB5A}"/>
    <cellStyle name="Virgül 4 2 2" xfId="109" xr:uid="{C08650AD-27C6-4C6E-A8FD-6156393C80BE}"/>
    <cellStyle name="Virgül 4 2 3" xfId="133" xr:uid="{2136394F-D3C8-4712-A27B-EF7D03196248}"/>
    <cellStyle name="Virgül 4 3" xfId="97" xr:uid="{9D1DEEE7-5C02-40DE-AF7D-7E0D4563B220}"/>
    <cellStyle name="Virgül 4 4" xfId="121" xr:uid="{AB2FEF73-498A-4574-9F53-4CEE2AA3C419}"/>
    <cellStyle name="Virgül 5" xfId="78" xr:uid="{730E5932-38F2-4394-84F7-C6056B48CE1E}"/>
    <cellStyle name="Virgül 5 2" xfId="102" xr:uid="{F8EC0CFE-084C-4D83-8E7F-396188435552}"/>
    <cellStyle name="Virgül 5 3" xfId="126" xr:uid="{A0E315F2-14F0-480C-AC69-0A8C03B8F8B8}"/>
    <cellStyle name="Virgül 6" xfId="90" xr:uid="{5157A160-A87B-4544-8C9B-46736304DA79}"/>
    <cellStyle name="Virgül 7" xfId="114" xr:uid="{E8314E32-E47F-4283-8FE5-474B395CA950}"/>
    <cellStyle name="Vurgu1 2" xfId="24" xr:uid="{FC841250-9A88-4303-A0FE-F7EF4AA60648}"/>
    <cellStyle name="Vurgu2 2" xfId="25" xr:uid="{5C6D31A0-9C7C-465E-8F27-1E996E318AD2}"/>
    <cellStyle name="Vurgu3 2" xfId="26" xr:uid="{550E9C38-ED52-4F70-8B9D-0579E6625D60}"/>
    <cellStyle name="Vurgu4 2" xfId="27" xr:uid="{5F22CB58-3D86-42F2-9BB2-818AB5509C47}"/>
    <cellStyle name="Vurgu5 2" xfId="28" xr:uid="{1A92BC3C-946B-448D-AC1C-B28FEC1416E4}"/>
    <cellStyle name="Vurgu6 2" xfId="29" xr:uid="{E1AB2B8B-C178-474C-986E-CA3E884E82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showGridLines="0" workbookViewId="0">
      <selection sqref="A1:B1"/>
    </sheetView>
  </sheetViews>
  <sheetFormatPr defaultRowHeight="15" x14ac:dyDescent="0.25"/>
  <cols>
    <col min="1" max="1" width="80" customWidth="1"/>
    <col min="2" max="2" width="20" customWidth="1"/>
  </cols>
  <sheetData>
    <row r="1" spans="1:2" ht="44.1" customHeight="1" x14ac:dyDescent="0.25">
      <c r="A1" s="36" t="s">
        <v>0</v>
      </c>
      <c r="B1" s="35"/>
    </row>
    <row r="3" spans="1:2" ht="18" customHeight="1" x14ac:dyDescent="0.25">
      <c r="A3" s="38" t="s">
        <v>1</v>
      </c>
      <c r="B3" s="35"/>
    </row>
    <row r="4" spans="1:2" ht="18" customHeight="1" x14ac:dyDescent="0.25">
      <c r="A4" s="34"/>
      <c r="B4" s="35"/>
    </row>
    <row r="5" spans="1:2" ht="18" customHeight="1" x14ac:dyDescent="0.25">
      <c r="A5" s="34" t="s">
        <v>2</v>
      </c>
      <c r="B5" s="35"/>
    </row>
    <row r="6" spans="1:2" ht="18" customHeight="1" x14ac:dyDescent="0.25">
      <c r="A6" s="34" t="s">
        <v>3</v>
      </c>
      <c r="B6" s="35"/>
    </row>
    <row r="7" spans="1:2" ht="18" customHeight="1" x14ac:dyDescent="0.25">
      <c r="A7" s="34" t="s">
        <v>4</v>
      </c>
      <c r="B7" s="35"/>
    </row>
    <row r="8" spans="1:2" ht="18" customHeight="1" x14ac:dyDescent="0.25">
      <c r="A8" s="34" t="s">
        <v>5</v>
      </c>
      <c r="B8" s="35"/>
    </row>
    <row r="9" spans="1:2" ht="18" customHeight="1" x14ac:dyDescent="0.25">
      <c r="A9" s="34" t="s">
        <v>6</v>
      </c>
      <c r="B9" s="35"/>
    </row>
    <row r="10" spans="1:2" ht="18" customHeight="1" x14ac:dyDescent="0.25">
      <c r="A10" s="34" t="s">
        <v>7</v>
      </c>
      <c r="B10" s="35"/>
    </row>
    <row r="11" spans="1:2" ht="18" customHeight="1" x14ac:dyDescent="0.25">
      <c r="A11" s="34"/>
      <c r="B11" s="35"/>
    </row>
    <row r="12" spans="1:2" ht="18" customHeight="1" x14ac:dyDescent="0.25">
      <c r="A12" s="38" t="s">
        <v>8</v>
      </c>
      <c r="B12" s="35"/>
    </row>
    <row r="13" spans="1:2" ht="18" customHeight="1" x14ac:dyDescent="0.25">
      <c r="A13" s="34"/>
      <c r="B13" s="35"/>
    </row>
    <row r="14" spans="1:2" ht="18" customHeight="1" x14ac:dyDescent="0.25">
      <c r="A14" s="34" t="s">
        <v>9</v>
      </c>
      <c r="B14" s="35"/>
    </row>
    <row r="15" spans="1:2" ht="18" customHeight="1" x14ac:dyDescent="0.25">
      <c r="A15" s="34" t="s">
        <v>10</v>
      </c>
      <c r="B15" s="35"/>
    </row>
    <row r="16" spans="1:2" ht="18" customHeight="1" x14ac:dyDescent="0.25">
      <c r="A16" s="34" t="s">
        <v>11</v>
      </c>
      <c r="B16" s="35"/>
    </row>
    <row r="17" spans="1:2" ht="18" customHeight="1" x14ac:dyDescent="0.25">
      <c r="A17" s="34" t="s">
        <v>12</v>
      </c>
      <c r="B17" s="35"/>
    </row>
    <row r="18" spans="1:2" ht="18" customHeight="1" x14ac:dyDescent="0.25">
      <c r="A18" s="34"/>
      <c r="B18" s="35"/>
    </row>
    <row r="19" spans="1:2" ht="18" customHeight="1" x14ac:dyDescent="0.25">
      <c r="A19" s="38" t="s">
        <v>13</v>
      </c>
      <c r="B19" s="35"/>
    </row>
    <row r="20" spans="1:2" ht="18" customHeight="1" x14ac:dyDescent="0.25">
      <c r="A20" s="34"/>
      <c r="B20" s="35"/>
    </row>
    <row r="21" spans="1:2" ht="18" customHeight="1" x14ac:dyDescent="0.25">
      <c r="A21" s="34" t="s">
        <v>14</v>
      </c>
      <c r="B21" s="35"/>
    </row>
    <row r="22" spans="1:2" ht="18" customHeight="1" x14ac:dyDescent="0.25">
      <c r="A22" s="34" t="s">
        <v>15</v>
      </c>
      <c r="B22" s="35"/>
    </row>
    <row r="23" spans="1:2" ht="18" customHeight="1" x14ac:dyDescent="0.25">
      <c r="A23" s="34" t="s">
        <v>16</v>
      </c>
      <c r="B23" s="35"/>
    </row>
    <row r="24" spans="1:2" ht="18" customHeight="1" x14ac:dyDescent="0.25">
      <c r="A24" s="34" t="s">
        <v>17</v>
      </c>
      <c r="B24" s="35"/>
    </row>
    <row r="25" spans="1:2" ht="18" customHeight="1" x14ac:dyDescent="0.25">
      <c r="A25" s="34" t="s">
        <v>18</v>
      </c>
      <c r="B25" s="35"/>
    </row>
    <row r="26" spans="1:2" ht="18" customHeight="1" x14ac:dyDescent="0.25">
      <c r="A26" s="34" t="s">
        <v>19</v>
      </c>
      <c r="B26" s="35"/>
    </row>
    <row r="27" spans="1:2" ht="18" customHeight="1" x14ac:dyDescent="0.25">
      <c r="A27" s="34" t="s">
        <v>20</v>
      </c>
      <c r="B27" s="35"/>
    </row>
    <row r="28" spans="1:2" ht="18" customHeight="1" x14ac:dyDescent="0.25">
      <c r="A28" s="34" t="s">
        <v>21</v>
      </c>
      <c r="B28" s="35"/>
    </row>
    <row r="29" spans="1:2" ht="18" customHeight="1" x14ac:dyDescent="0.25">
      <c r="A29" s="34" t="s">
        <v>22</v>
      </c>
      <c r="B29" s="35"/>
    </row>
    <row r="30" spans="1:2" ht="18" customHeight="1" x14ac:dyDescent="0.25">
      <c r="A30" s="34" t="s">
        <v>23</v>
      </c>
      <c r="B30" s="35"/>
    </row>
    <row r="31" spans="1:2" ht="18" customHeight="1" x14ac:dyDescent="0.25">
      <c r="A31" s="34" t="s">
        <v>24</v>
      </c>
      <c r="B31" s="35"/>
    </row>
    <row r="32" spans="1:2" ht="18" customHeight="1" x14ac:dyDescent="0.25">
      <c r="A32" s="34" t="s">
        <v>25</v>
      </c>
      <c r="B32" s="35"/>
    </row>
    <row r="33" spans="1:2" ht="18" customHeight="1" x14ac:dyDescent="0.25">
      <c r="A33" s="34" t="s">
        <v>26</v>
      </c>
      <c r="B33" s="35"/>
    </row>
    <row r="34" spans="1:2" ht="18" customHeight="1" x14ac:dyDescent="0.25">
      <c r="A34" s="34" t="s">
        <v>27</v>
      </c>
      <c r="B34" s="35"/>
    </row>
    <row r="35" spans="1:2" ht="18" customHeight="1" x14ac:dyDescent="0.25">
      <c r="A35" s="34" t="s">
        <v>28</v>
      </c>
      <c r="B35" s="35"/>
    </row>
    <row r="36" spans="1:2" ht="18" customHeight="1" x14ac:dyDescent="0.25">
      <c r="A36" s="34" t="s">
        <v>29</v>
      </c>
      <c r="B36" s="35"/>
    </row>
    <row r="37" spans="1:2" ht="18" customHeight="1" x14ac:dyDescent="0.25">
      <c r="A37" s="34" t="s">
        <v>30</v>
      </c>
      <c r="B37" s="35"/>
    </row>
    <row r="38" spans="1:2" ht="18" customHeight="1" x14ac:dyDescent="0.25">
      <c r="A38" s="34" t="s">
        <v>31</v>
      </c>
      <c r="B38" s="35"/>
    </row>
    <row r="39" spans="1:2" ht="18" customHeight="1" x14ac:dyDescent="0.25">
      <c r="A39" s="34" t="s">
        <v>32</v>
      </c>
      <c r="B39" s="35"/>
    </row>
    <row r="40" spans="1:2" ht="18" customHeight="1" x14ac:dyDescent="0.25">
      <c r="A40" s="34"/>
      <c r="B40" s="35"/>
    </row>
    <row r="41" spans="1:2" ht="18" customHeight="1" x14ac:dyDescent="0.25">
      <c r="A41" s="37" t="s">
        <v>33</v>
      </c>
      <c r="B41" s="35"/>
    </row>
    <row r="42" spans="1:2" ht="18" customHeight="1" x14ac:dyDescent="0.25">
      <c r="A42" s="34" t="s">
        <v>34</v>
      </c>
      <c r="B42" s="35"/>
    </row>
    <row r="43" spans="1:2" ht="18" customHeight="1" x14ac:dyDescent="0.25">
      <c r="A43" s="34" t="s">
        <v>35</v>
      </c>
      <c r="B43" s="35"/>
    </row>
  </sheetData>
  <mergeCells count="42">
    <mergeCell ref="A43:B43"/>
    <mergeCell ref="A19:B19"/>
    <mergeCell ref="A10:B10"/>
    <mergeCell ref="A28:B28"/>
    <mergeCell ref="A13:B13"/>
    <mergeCell ref="A40:B40"/>
    <mergeCell ref="A31:B31"/>
    <mergeCell ref="A39:B39"/>
    <mergeCell ref="A34:B34"/>
    <mergeCell ref="A42:B42"/>
    <mergeCell ref="A5:B5"/>
    <mergeCell ref="A32:B32"/>
    <mergeCell ref="A14:B14"/>
    <mergeCell ref="A23:B23"/>
    <mergeCell ref="A17:B17"/>
    <mergeCell ref="A8:B8"/>
    <mergeCell ref="A22:B22"/>
    <mergeCell ref="A35:B35"/>
    <mergeCell ref="A20:B20"/>
    <mergeCell ref="A38:B38"/>
    <mergeCell ref="A29:B29"/>
    <mergeCell ref="A9:B9"/>
    <mergeCell ref="A41:B41"/>
    <mergeCell ref="A37:B37"/>
    <mergeCell ref="A18:B18"/>
    <mergeCell ref="A27:B27"/>
    <mergeCell ref="A3:B3"/>
    <mergeCell ref="A12:B12"/>
    <mergeCell ref="A26:B26"/>
    <mergeCell ref="A21:B21"/>
    <mergeCell ref="A33:B33"/>
    <mergeCell ref="A4:B4"/>
    <mergeCell ref="A1:B1"/>
    <mergeCell ref="A6:B6"/>
    <mergeCell ref="A16:B16"/>
    <mergeCell ref="A7:B7"/>
    <mergeCell ref="A25:B25"/>
    <mergeCell ref="A24:B24"/>
    <mergeCell ref="A30:B30"/>
    <mergeCell ref="A15:B15"/>
    <mergeCell ref="A11:B11"/>
    <mergeCell ref="A36:B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showGridLines="0" topLeftCell="A2" workbookViewId="0">
      <selection activeCell="R14" sqref="R14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14" customWidth="1"/>
    <col min="5" max="5" width="10" customWidth="1"/>
    <col min="6" max="6" width="14" customWidth="1"/>
    <col min="7" max="9" width="16" customWidth="1"/>
    <col min="10" max="11" width="12" customWidth="1"/>
    <col min="12" max="12" width="16" customWidth="1"/>
    <col min="13" max="13" width="14" customWidth="1"/>
    <col min="14" max="14" width="24" customWidth="1"/>
  </cols>
  <sheetData>
    <row r="1" spans="1:14" ht="33.950000000000003" customHeight="1" x14ac:dyDescent="0.25">
      <c r="A1" s="44" t="s">
        <v>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38.1" customHeight="1" x14ac:dyDescent="0.25">
      <c r="A3" s="1" t="s">
        <v>38</v>
      </c>
      <c r="B3" s="1" t="s">
        <v>39</v>
      </c>
      <c r="C3" s="1" t="s">
        <v>40</v>
      </c>
      <c r="D3" s="1" t="s">
        <v>41</v>
      </c>
      <c r="E3" s="29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</row>
    <row r="4" spans="1:14" ht="20.100000000000001" customHeight="1" x14ac:dyDescent="0.25">
      <c r="A4" s="57">
        <v>2023</v>
      </c>
      <c r="B4" s="57" t="s">
        <v>52</v>
      </c>
      <c r="C4" s="57" t="s">
        <v>53</v>
      </c>
      <c r="D4" s="57">
        <v>11064</v>
      </c>
      <c r="E4" s="30" t="s">
        <v>54</v>
      </c>
      <c r="F4" s="58">
        <v>48</v>
      </c>
      <c r="G4" s="58">
        <v>56.1</v>
      </c>
      <c r="H4" s="58">
        <v>5.0000000000000001E-3</v>
      </c>
      <c r="I4" s="58">
        <v>1E-4</v>
      </c>
      <c r="J4" s="58">
        <v>29.8</v>
      </c>
      <c r="K4" s="58">
        <v>273</v>
      </c>
      <c r="L4" s="58">
        <v>7.2000000000000005E-4</v>
      </c>
      <c r="M4" s="33">
        <f>IF(OR(D4=0,F4=0),0,((D4*IF(OR(LOWER(E4)="m³",LOWER(E4)="m3",LOWER(E4)="l",LOWER(E4)="lt"),L4,IF(OR(LOWER(E4)="kg"),0.001,IF(OR(LOWER(E4)="ton",LOWER(E4)="tonne"),1,L4)))/1000)*F4)*G4+((D4*IF(OR(LOWER(E4)="m³",LOWER(E4)="m3",LOWER(E4)="l",LOWER(E4)="lt"),L4,IF(OR(LOWER(E4)="kg"),0.001,IF(OR(LOWER(E4)="ton",LOWER(E4)="tonne"),1,L4)))/1000)*F4)*H4*J4+((D4*IF(OR(LOWER(E4)="m³",LOWER(E4)="m3",LOWER(E4)="l",LOWER(E4)="lt"),L4,IF(OR(LOWER(E4)="kg"),0.001,IF(OR(LOWER(E4)="ton",LOWER(E4)="tonne"),1,L4)))/1000)*F4)*I4*K4)</f>
        <v>21.518472379392005</v>
      </c>
      <c r="N4" s="2" t="s">
        <v>55</v>
      </c>
    </row>
    <row r="5" spans="1:14" ht="20.100000000000001" customHeight="1" x14ac:dyDescent="0.25">
      <c r="A5" s="57">
        <v>2023</v>
      </c>
      <c r="B5" s="57" t="s">
        <v>56</v>
      </c>
      <c r="C5" s="57" t="s">
        <v>57</v>
      </c>
      <c r="D5" s="57">
        <v>432</v>
      </c>
      <c r="E5" s="30" t="s">
        <v>58</v>
      </c>
      <c r="F5" s="58">
        <v>43</v>
      </c>
      <c r="G5" s="58">
        <v>74.099999999999994</v>
      </c>
      <c r="H5" s="58">
        <v>0.01</v>
      </c>
      <c r="I5" s="58">
        <v>5.9999999999999995E-4</v>
      </c>
      <c r="J5" s="58">
        <v>29.8</v>
      </c>
      <c r="K5" s="58">
        <v>273</v>
      </c>
      <c r="L5" s="58">
        <v>8.4500000000000005E-4</v>
      </c>
      <c r="M5" s="33">
        <f>IF(OR(D5=0,F5=0),0,((D5*IF(OR(LOWER(E5)="m³",LOWER(E5)="m3",LOWER(E5)="l",LOWER(E5)="lt"),L5,IF(OR(LOWER(E5)="kg"),0.001,IF(OR(LOWER(E5)="ton",LOWER(E5)="tonne"),1,L5)))/1000)*F5)*G5+((D5*IF(OR(LOWER(E5)="m³",LOWER(E5)="m3",LOWER(E5)="l",LOWER(E5)="lt"),L5,IF(OR(LOWER(E5)="kg"),0.001,IF(OR(LOWER(E5)="ton",LOWER(E5)="tonne"),1,L5)))/1000)*F5)*H5*J5+((D5*IF(OR(LOWER(E5)="m³",LOWER(E5)="m3",LOWER(E5)="l",LOWER(E5)="lt"),L5,IF(OR(LOWER(E5)="kg"),0.001,IF(OR(LOWER(E5)="ton",LOWER(E5)="tonne"),1,L5)))/1000)*F5)*I5*K5)</f>
        <v>1.170375697296</v>
      </c>
      <c r="N5" s="2" t="s">
        <v>59</v>
      </c>
    </row>
    <row r="6" spans="1:14" ht="20.100000000000001" customHeight="1" x14ac:dyDescent="0.25">
      <c r="A6" s="57">
        <v>2023</v>
      </c>
      <c r="B6" s="57" t="s">
        <v>60</v>
      </c>
      <c r="C6" s="57" t="s">
        <v>57</v>
      </c>
      <c r="D6" s="57">
        <v>15</v>
      </c>
      <c r="E6" s="30" t="s">
        <v>58</v>
      </c>
      <c r="F6" s="58">
        <v>43</v>
      </c>
      <c r="G6" s="58">
        <v>74.099999999999994</v>
      </c>
      <c r="H6" s="58">
        <v>0.01</v>
      </c>
      <c r="I6" s="58">
        <v>5.9999999999999995E-4</v>
      </c>
      <c r="J6" s="58">
        <v>29.8</v>
      </c>
      <c r="K6" s="58">
        <v>273</v>
      </c>
      <c r="L6" s="58">
        <v>8.4500000000000005E-4</v>
      </c>
      <c r="M6" s="33">
        <f>IF(OR(D6=0,F6=0),0,((D6*IF(OR(LOWER(E6)="m³",LOWER(E6)="m3",LOWER(E6)="l",LOWER(E6)="lt"),L6,IF(OR(LOWER(E6)="kg"),0.001,IF(OR(LOWER(E6)="ton",LOWER(E6)="tonne"),1,L6)))/1000)*F6)*G6+((D6*IF(OR(LOWER(E6)="m³",LOWER(E6)="m3",LOWER(E6)="l",LOWER(E6)="lt"),L6,IF(OR(LOWER(E6)="kg"),0.001,IF(OR(LOWER(E6)="ton",LOWER(E6)="tonne"),1,L6)))/1000)*F6)*H6*J6+((D6*IF(OR(LOWER(E6)="m³",LOWER(E6)="m3",LOWER(E6)="l",LOWER(E6)="lt"),L6,IF(OR(LOWER(E6)="kg"),0.001,IF(OR(LOWER(E6)="ton",LOWER(E6)="tonne"),1,L6)))/1000)*F6)*I6*K6)</f>
        <v>4.0638045044999994E-2</v>
      </c>
      <c r="N6" s="2" t="s">
        <v>61</v>
      </c>
    </row>
    <row r="7" spans="1:14" ht="20.100000000000001" customHeight="1" x14ac:dyDescent="0.25">
      <c r="A7" s="57">
        <v>2023</v>
      </c>
      <c r="B7" s="57" t="s">
        <v>60</v>
      </c>
      <c r="C7" s="57" t="s">
        <v>62</v>
      </c>
      <c r="D7" s="57">
        <v>5</v>
      </c>
      <c r="E7" s="30" t="s">
        <v>58</v>
      </c>
      <c r="F7" s="58">
        <v>44.3</v>
      </c>
      <c r="G7" s="58">
        <v>69.3</v>
      </c>
      <c r="H7" s="58">
        <v>0.01</v>
      </c>
      <c r="I7" s="58">
        <v>5.9999999999999995E-4</v>
      </c>
      <c r="J7" s="58">
        <v>29.8</v>
      </c>
      <c r="K7" s="58">
        <v>273</v>
      </c>
      <c r="L7" s="58">
        <v>7.7499999999999997E-4</v>
      </c>
      <c r="M7" s="33">
        <f>IF(OR(D7=0,F7=0),0,((D7*IF(OR(LOWER(E7)="m³",LOWER(E7)="m3",LOWER(E7)="l",LOWER(E7)="lt"),L7,IF(OR(LOWER(E7)="kg"),0.001,IF(OR(LOWER(E7)="ton",LOWER(E7)="tonne"),1,L7)))/1000)*F7)*G7+((D7*IF(OR(LOWER(E7)="m³",LOWER(E7)="m3",LOWER(E7)="l",LOWER(E7)="lt"),L7,IF(OR(LOWER(E7)="kg"),0.001,IF(OR(LOWER(E7)="ton",LOWER(E7)="tonne"),1,L7)))/1000)*F7)*H7*J7+((D7*IF(OR(LOWER(E7)="m³",LOWER(E7)="m3",LOWER(E7)="l",LOWER(E7)="lt"),L7,IF(OR(LOWER(E7)="kg"),0.001,IF(OR(LOWER(E7)="ton",LOWER(E7)="tonne"),1,L7)))/1000)*F7)*I7*K7)</f>
        <v>1.19754849925E-2</v>
      </c>
      <c r="N7" s="2" t="s">
        <v>61</v>
      </c>
    </row>
    <row r="8" spans="1:14" ht="20.100000000000001" customHeight="1" x14ac:dyDescent="0.25">
      <c r="A8" s="57"/>
      <c r="B8" s="57"/>
      <c r="C8" s="57"/>
      <c r="D8" s="57"/>
      <c r="E8" s="4"/>
      <c r="F8" s="58"/>
      <c r="G8" s="58"/>
      <c r="H8" s="58"/>
      <c r="I8" s="58"/>
      <c r="J8" s="58"/>
      <c r="K8" s="58"/>
      <c r="L8" s="58"/>
      <c r="M8" s="33"/>
      <c r="N8" s="2"/>
    </row>
    <row r="9" spans="1:14" ht="20.100000000000001" customHeight="1" x14ac:dyDescent="0.25">
      <c r="A9" s="57">
        <v>2024</v>
      </c>
      <c r="B9" s="57" t="s">
        <v>52</v>
      </c>
      <c r="C9" s="57" t="s">
        <v>53</v>
      </c>
      <c r="D9" s="57">
        <v>8294</v>
      </c>
      <c r="E9" s="30" t="s">
        <v>54</v>
      </c>
      <c r="F9" s="58">
        <v>48</v>
      </c>
      <c r="G9" s="58">
        <v>56.1</v>
      </c>
      <c r="H9" s="58">
        <v>5.0000000000000001E-3</v>
      </c>
      <c r="I9" s="58">
        <v>1E-4</v>
      </c>
      <c r="J9" s="58">
        <v>29.8</v>
      </c>
      <c r="K9" s="58">
        <v>273</v>
      </c>
      <c r="L9" s="58">
        <v>7.2000000000000005E-4</v>
      </c>
      <c r="M9" s="33">
        <f t="shared" ref="M8:M11" si="0">IF(OR(D9=0,F9=0),0,((D9*IF(OR(LOWER(E9)="m³",LOWER(E9)="m3",LOWER(E9)="l",LOWER(E9)="lt"),L9,IF(OR(LOWER(E9)="kg"),0.001,IF(OR(LOWER(E9)="ton",LOWER(E9)="tonne"),1,L9)))/1000)*F9)*G9+((D9*IF(OR(LOWER(E9)="m³",LOWER(E9)="m3",LOWER(E9)="l",LOWER(E9)="lt"),L9,IF(OR(LOWER(E9)="kg"),0.001,IF(OR(LOWER(E9)="ton",LOWER(E9)="tonne"),1,L9)))/1000)*F9)*H9*J9+((D9*IF(OR(LOWER(E9)="m³",LOWER(E9)="m3",LOWER(E9)="l",LOWER(E9)="lt"),L9,IF(OR(LOWER(E9)="kg"),0.001,IF(OR(LOWER(E9)="ton",LOWER(E9)="tonne"),1,L9)))/1000)*F9)*I9*K9)</f>
        <v>16.131074648832001</v>
      </c>
      <c r="N9" s="2" t="s">
        <v>55</v>
      </c>
    </row>
    <row r="10" spans="1:14" ht="20.100000000000001" customHeight="1" x14ac:dyDescent="0.25">
      <c r="A10" s="57">
        <v>2024</v>
      </c>
      <c r="B10" s="57" t="s">
        <v>56</v>
      </c>
      <c r="C10" s="57" t="s">
        <v>57</v>
      </c>
      <c r="D10" s="57">
        <v>1366</v>
      </c>
      <c r="E10" s="30" t="s">
        <v>58</v>
      </c>
      <c r="F10" s="58">
        <v>43</v>
      </c>
      <c r="G10" s="58">
        <v>74.099999999999994</v>
      </c>
      <c r="H10" s="58">
        <v>0.01</v>
      </c>
      <c r="I10" s="58">
        <v>5.9999999999999995E-4</v>
      </c>
      <c r="J10" s="58">
        <v>29.8</v>
      </c>
      <c r="K10" s="58">
        <v>273</v>
      </c>
      <c r="L10" s="58">
        <v>8.4500000000000005E-4</v>
      </c>
      <c r="M10" s="33">
        <f t="shared" si="0"/>
        <v>3.7007713020980004</v>
      </c>
      <c r="N10" s="2" t="s">
        <v>59</v>
      </c>
    </row>
    <row r="11" spans="1:14" ht="20.100000000000001" customHeight="1" x14ac:dyDescent="0.25">
      <c r="A11" s="57">
        <v>2024</v>
      </c>
      <c r="B11" s="57" t="s">
        <v>60</v>
      </c>
      <c r="C11" s="57" t="s">
        <v>57</v>
      </c>
      <c r="D11" s="57">
        <v>3</v>
      </c>
      <c r="E11" s="30" t="s">
        <v>58</v>
      </c>
      <c r="F11" s="58">
        <v>43</v>
      </c>
      <c r="G11" s="58">
        <v>74.099999999999994</v>
      </c>
      <c r="H11" s="58">
        <v>0.01</v>
      </c>
      <c r="I11" s="58">
        <v>5.9999999999999995E-4</v>
      </c>
      <c r="J11" s="58">
        <v>29.8</v>
      </c>
      <c r="K11" s="58">
        <v>273</v>
      </c>
      <c r="L11" s="58">
        <v>8.4500000000000005E-4</v>
      </c>
      <c r="M11" s="33">
        <f t="shared" ref="M11:M14" si="1">IF(OR(D11=0,F11=0),0,((D11*IF(OR(LOWER(E11)="m³",LOWER(E11)="m3",LOWER(E11)="l",LOWER(E11)="lt"),L11,IF(OR(LOWER(E11)="kg"),0.001,IF(OR(LOWER(E11)="ton",LOWER(E11)="tonne"),1,L11)))/1000)*F11)*G11+((D11*IF(OR(LOWER(E11)="m³",LOWER(E11)="m3",LOWER(E11)="l",LOWER(E11)="lt"),L11,IF(OR(LOWER(E11)="kg"),0.001,IF(OR(LOWER(E11)="ton",LOWER(E11)="tonne"),1,L11)))/1000)*F11)*H11*J11+((D11*IF(OR(LOWER(E11)="m³",LOWER(E11)="m3",LOWER(E11)="l",LOWER(E11)="lt"),L11,IF(OR(LOWER(E11)="kg"),0.001,IF(OR(LOWER(E11)="ton",LOWER(E11)="tonne"),1,L11)))/1000)*F11)*I11*K11)</f>
        <v>8.1276090089999996E-3</v>
      </c>
      <c r="N11" s="2" t="s">
        <v>61</v>
      </c>
    </row>
    <row r="12" spans="1:14" x14ac:dyDescent="0.25">
      <c r="A12" s="57">
        <v>2024</v>
      </c>
      <c r="B12" s="57" t="s">
        <v>60</v>
      </c>
      <c r="C12" s="57" t="s">
        <v>62</v>
      </c>
      <c r="D12" s="57">
        <v>1</v>
      </c>
      <c r="E12" s="30" t="s">
        <v>58</v>
      </c>
      <c r="F12" s="58">
        <v>44.3</v>
      </c>
      <c r="G12" s="58">
        <v>69.3</v>
      </c>
      <c r="H12" s="58">
        <v>0.01</v>
      </c>
      <c r="I12" s="58">
        <v>5.9999999999999995E-4</v>
      </c>
      <c r="J12" s="58">
        <v>29.8</v>
      </c>
      <c r="K12" s="58">
        <v>273</v>
      </c>
      <c r="L12" s="58">
        <v>7.7499999999999997E-4</v>
      </c>
      <c r="M12" s="33">
        <f t="shared" si="1"/>
        <v>2.3950969984999995E-3</v>
      </c>
      <c r="N12" s="2" t="s">
        <v>61</v>
      </c>
    </row>
    <row r="13" spans="1:14" ht="20.100000000000001" customHeight="1" x14ac:dyDescent="0.25">
      <c r="A13" s="57"/>
      <c r="B13" s="57"/>
      <c r="C13" s="57"/>
      <c r="D13" s="57"/>
      <c r="E13" s="4"/>
      <c r="F13" s="58"/>
      <c r="G13" s="58"/>
      <c r="H13" s="58"/>
      <c r="I13" s="58"/>
      <c r="J13" s="58"/>
      <c r="K13" s="58"/>
      <c r="L13" s="58"/>
      <c r="M13" s="33"/>
      <c r="N13" s="2"/>
    </row>
    <row r="14" spans="1:14" ht="15" customHeight="1" x14ac:dyDescent="0.25">
      <c r="A14" s="57">
        <v>2025</v>
      </c>
      <c r="B14" s="57" t="s">
        <v>52</v>
      </c>
      <c r="C14" s="57" t="s">
        <v>53</v>
      </c>
      <c r="D14" s="57">
        <v>9835</v>
      </c>
      <c r="E14" s="30" t="s">
        <v>54</v>
      </c>
      <c r="F14" s="58">
        <v>48</v>
      </c>
      <c r="G14" s="58">
        <v>56.1</v>
      </c>
      <c r="H14" s="58">
        <v>5.0000000000000001E-3</v>
      </c>
      <c r="I14" s="58">
        <v>1E-4</v>
      </c>
      <c r="J14" s="58">
        <v>29.8</v>
      </c>
      <c r="K14" s="58">
        <v>273</v>
      </c>
      <c r="L14" s="58">
        <v>7.2000000000000005E-4</v>
      </c>
      <c r="M14" s="33">
        <f t="shared" ref="M14:M20" si="2">IF(OR(D14=0,F14=0),0,((D14*IF(OR(LOWER(E14)="m³",LOWER(E14)="m3",LOWER(E14)="l",LOWER(E14)="lt"),L14,IF(OR(LOWER(E14)="kg"),0.001,IF(OR(LOWER(E14)="ton",LOWER(E14)="tonne"),1,L14)))/1000)*F14)*G14+((D14*IF(OR(LOWER(E14)="m³",LOWER(E14)="m3",LOWER(E14)="l",LOWER(E14)="lt"),L14,IF(OR(LOWER(E14)="kg"),0.001,IF(OR(LOWER(E14)="ton",LOWER(E14)="tonne"),1,L14)))/1000)*F14)*H14*J14+((D14*IF(OR(LOWER(E14)="m³",LOWER(E14)="m3",LOWER(E14)="l",LOWER(E14)="lt"),L14,IF(OR(LOWER(E14)="kg"),0.001,IF(OR(LOWER(E14)="ton",LOWER(E14)="tonne"),1,L14)))/1000)*F14)*I14*K14)</f>
        <v>19.12817930688</v>
      </c>
      <c r="N14" s="2" t="s">
        <v>55</v>
      </c>
    </row>
    <row r="15" spans="1:14" ht="15" customHeight="1" x14ac:dyDescent="0.25">
      <c r="A15" s="57">
        <v>2025</v>
      </c>
      <c r="B15" s="57" t="s">
        <v>56</v>
      </c>
      <c r="C15" s="57" t="s">
        <v>57</v>
      </c>
      <c r="D15" s="57">
        <v>3200</v>
      </c>
      <c r="E15" s="30" t="s">
        <v>58</v>
      </c>
      <c r="F15" s="58">
        <v>43</v>
      </c>
      <c r="G15" s="58">
        <v>74.099999999999994</v>
      </c>
      <c r="H15" s="58">
        <v>0.01</v>
      </c>
      <c r="I15" s="58">
        <v>5.9999999999999995E-4</v>
      </c>
      <c r="J15" s="58">
        <v>29.8</v>
      </c>
      <c r="K15" s="58">
        <v>273</v>
      </c>
      <c r="L15" s="58">
        <v>8.4500000000000005E-4</v>
      </c>
      <c r="M15" s="33">
        <f t="shared" si="2"/>
        <v>8.6694496095999991</v>
      </c>
      <c r="N15" s="2" t="s">
        <v>59</v>
      </c>
    </row>
    <row r="16" spans="1:14" ht="15" customHeight="1" x14ac:dyDescent="0.25">
      <c r="A16" s="57">
        <v>2025</v>
      </c>
      <c r="B16" s="57" t="s">
        <v>60</v>
      </c>
      <c r="C16" s="57" t="s">
        <v>57</v>
      </c>
      <c r="D16" s="57">
        <v>10</v>
      </c>
      <c r="E16" s="30" t="s">
        <v>58</v>
      </c>
      <c r="F16" s="58">
        <v>43</v>
      </c>
      <c r="G16" s="58">
        <v>74.099999999999994</v>
      </c>
      <c r="H16" s="58">
        <v>0.01</v>
      </c>
      <c r="I16" s="58">
        <v>5.9999999999999995E-4</v>
      </c>
      <c r="J16" s="58">
        <v>29.8</v>
      </c>
      <c r="K16" s="58">
        <v>273</v>
      </c>
      <c r="L16" s="58">
        <v>8.4500000000000005E-4</v>
      </c>
      <c r="M16" s="33">
        <f t="shared" si="2"/>
        <v>2.7092030030000002E-2</v>
      </c>
      <c r="N16" s="2" t="s">
        <v>61</v>
      </c>
    </row>
    <row r="17" spans="1:14" ht="15" customHeight="1" x14ac:dyDescent="0.25">
      <c r="A17" s="57">
        <v>2025</v>
      </c>
      <c r="B17" s="57" t="s">
        <v>60</v>
      </c>
      <c r="C17" s="57" t="s">
        <v>62</v>
      </c>
      <c r="D17" s="57">
        <v>5</v>
      </c>
      <c r="E17" s="30" t="s">
        <v>58</v>
      </c>
      <c r="F17" s="58">
        <v>44.3</v>
      </c>
      <c r="G17" s="58">
        <v>69.3</v>
      </c>
      <c r="H17" s="58">
        <v>0.01</v>
      </c>
      <c r="I17" s="58">
        <v>5.9999999999999995E-4</v>
      </c>
      <c r="J17" s="58">
        <v>29.8</v>
      </c>
      <c r="K17" s="58">
        <v>273</v>
      </c>
      <c r="L17" s="58">
        <v>7.7499999999999997E-4</v>
      </c>
      <c r="M17" s="33">
        <f t="shared" si="2"/>
        <v>1.19754849925E-2</v>
      </c>
      <c r="N17" s="2" t="s">
        <v>61</v>
      </c>
    </row>
    <row r="18" spans="1:14" x14ac:dyDescent="0.25">
      <c r="A18" s="2"/>
      <c r="B18" s="2"/>
      <c r="C18" s="2"/>
      <c r="D18" s="2"/>
      <c r="E18" s="4"/>
      <c r="F18" s="4"/>
      <c r="G18" s="4"/>
      <c r="H18" s="4"/>
      <c r="I18" s="4"/>
      <c r="J18" s="4"/>
      <c r="K18" s="4"/>
      <c r="L18" s="4"/>
      <c r="M18" s="33">
        <f t="shared" si="2"/>
        <v>0</v>
      </c>
      <c r="N18" s="2"/>
    </row>
    <row r="19" spans="1:14" ht="15.95" customHeight="1" x14ac:dyDescent="0.25">
      <c r="A19" s="2"/>
      <c r="B19" s="2"/>
      <c r="C19" s="2"/>
      <c r="D19" s="2"/>
      <c r="E19" s="4"/>
      <c r="F19" s="4"/>
      <c r="G19" s="4"/>
      <c r="H19" s="4"/>
      <c r="I19" s="4"/>
      <c r="J19" s="4"/>
      <c r="K19" s="4"/>
      <c r="L19" s="4"/>
      <c r="M19" s="33">
        <f t="shared" si="2"/>
        <v>0</v>
      </c>
      <c r="N19" s="2"/>
    </row>
    <row r="20" spans="1:14" ht="15.95" customHeight="1" x14ac:dyDescent="0.25">
      <c r="A20" s="2"/>
      <c r="B20" s="2"/>
      <c r="C20" s="2"/>
      <c r="D20" s="2"/>
      <c r="E20" s="4"/>
      <c r="F20" s="4"/>
      <c r="G20" s="4"/>
      <c r="H20" s="4"/>
      <c r="I20" s="4"/>
      <c r="J20" s="4"/>
      <c r="K20" s="4"/>
      <c r="L20" s="4"/>
      <c r="M20" s="33">
        <f t="shared" si="2"/>
        <v>0</v>
      </c>
      <c r="N20" s="2"/>
    </row>
    <row r="21" spans="1:14" ht="15.95" customHeight="1" x14ac:dyDescent="0.25"/>
    <row r="22" spans="1:14" ht="15.95" customHeight="1" x14ac:dyDescent="0.25"/>
    <row r="32" spans="1:14" x14ac:dyDescent="0.25">
      <c r="A32" s="54" t="s">
        <v>63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6"/>
    </row>
    <row r="33" spans="1:14" x14ac:dyDescent="0.25">
      <c r="A33" s="53" t="s">
        <v>64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</row>
    <row r="34" spans="1:14" x14ac:dyDescent="0.25">
      <c r="A34" s="39" t="s">
        <v>65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1:14" x14ac:dyDescent="0.25">
      <c r="A35" s="39" t="s">
        <v>66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1:14" x14ac:dyDescent="0.25">
      <c r="A36" s="39" t="s">
        <v>67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8" spans="1:14" x14ac:dyDescent="0.25">
      <c r="A38" s="5"/>
      <c r="B38" s="6" t="s">
        <v>68</v>
      </c>
    </row>
    <row r="39" spans="1:14" x14ac:dyDescent="0.25">
      <c r="A39" s="7"/>
      <c r="B39" s="8" t="s">
        <v>69</v>
      </c>
    </row>
    <row r="40" spans="1:14" x14ac:dyDescent="0.25">
      <c r="A40" s="9"/>
      <c r="B40" s="10" t="s">
        <v>70</v>
      </c>
    </row>
    <row r="41" spans="1:14" x14ac:dyDescent="0.25">
      <c r="A41" s="11"/>
      <c r="B41" s="12" t="s">
        <v>71</v>
      </c>
    </row>
  </sheetData>
  <mergeCells count="7">
    <mergeCell ref="A1:N1"/>
    <mergeCell ref="A36:N36"/>
    <mergeCell ref="A2:N2"/>
    <mergeCell ref="A35:N35"/>
    <mergeCell ref="A34:N34"/>
    <mergeCell ref="A32:N32"/>
    <mergeCell ref="A33:N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showGridLines="0" workbookViewId="0">
      <selection activeCell="N19" sqref="N19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14" customWidth="1"/>
    <col min="5" max="5" width="10" customWidth="1"/>
    <col min="6" max="6" width="14" customWidth="1"/>
    <col min="7" max="9" width="16" customWidth="1"/>
    <col min="10" max="11" width="12" customWidth="1"/>
    <col min="12" max="12" width="16" customWidth="1"/>
    <col min="13" max="13" width="14" customWidth="1"/>
    <col min="14" max="14" width="24" customWidth="1"/>
  </cols>
  <sheetData>
    <row r="1" spans="1:14" ht="33.950000000000003" customHeight="1" x14ac:dyDescent="0.25">
      <c r="A1" s="44" t="s">
        <v>72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38.1" customHeight="1" x14ac:dyDescent="0.25">
      <c r="A3" s="1" t="s">
        <v>38</v>
      </c>
      <c r="B3" s="1" t="s">
        <v>39</v>
      </c>
      <c r="C3" s="1" t="s">
        <v>40</v>
      </c>
      <c r="D3" s="1" t="s">
        <v>41</v>
      </c>
      <c r="E3" s="29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</row>
    <row r="4" spans="1:14" ht="20.100000000000001" customHeight="1" x14ac:dyDescent="0.25">
      <c r="A4" s="57">
        <v>2023</v>
      </c>
      <c r="B4" s="57" t="s">
        <v>73</v>
      </c>
      <c r="C4" s="57" t="s">
        <v>62</v>
      </c>
      <c r="D4" s="57">
        <v>87312.66</v>
      </c>
      <c r="E4" s="30" t="s">
        <v>58</v>
      </c>
      <c r="F4" s="58">
        <v>44.3</v>
      </c>
      <c r="G4" s="58">
        <v>69.3</v>
      </c>
      <c r="H4" s="58">
        <v>2.5000000000000001E-2</v>
      </c>
      <c r="I4" s="58">
        <v>8.0000000000000002E-3</v>
      </c>
      <c r="J4" s="58">
        <v>29.8</v>
      </c>
      <c r="K4" s="58">
        <v>273</v>
      </c>
      <c r="L4" s="58">
        <v>7.7499999999999997E-4</v>
      </c>
      <c r="M4" s="33">
        <f>IF(OR(D4=0,F4=0),0,((D4*IF(OR(LOWER(E4)="m³",LOWER(E4)="m3",LOWER(E4)="l",LOWER(E4)="lt"),L4,IF(OR(LOWER(E4)="kg"),0.001,IF(OR(LOWER(E4)="ton",LOWER(E4)="tonne"),1,L4)))/1000)*F4)*G4+((D4*IF(OR(LOWER(E4)="m³",LOWER(E4)="m3",LOWER(E4)="l",LOWER(E4)="lt"),L4,IF(OR(LOWER(E4)="kg"),0.001,IF(OR(LOWER(E4)="ton",LOWER(E4)="tonne"),1,L4)))/1000)*F4)*H4*J4+((D4*IF(OR(LOWER(E4)="m³",LOWER(E4)="m3",LOWER(E4)="l",LOWER(E4)="lt"),L4,IF(OR(LOWER(E4)="kg"),0.001,IF(OR(LOWER(E4)="ton",LOWER(E4)="tonne"),1,L4)))/1000)*F4)*I4*K4)</f>
        <v>216.51812133537402</v>
      </c>
      <c r="N4" s="2" t="s">
        <v>74</v>
      </c>
    </row>
    <row r="5" spans="1:14" ht="20.100000000000001" customHeight="1" x14ac:dyDescent="0.25">
      <c r="A5" s="57">
        <v>2023</v>
      </c>
      <c r="B5" s="57" t="s">
        <v>73</v>
      </c>
      <c r="C5" s="57" t="s">
        <v>57</v>
      </c>
      <c r="D5" s="57">
        <v>122850.92</v>
      </c>
      <c r="E5" s="30" t="s">
        <v>58</v>
      </c>
      <c r="F5" s="58">
        <v>43</v>
      </c>
      <c r="G5" s="58">
        <v>74.099999999999994</v>
      </c>
      <c r="H5" s="58">
        <v>3.8999999999999998E-3</v>
      </c>
      <c r="I5" s="58">
        <v>3.8999999999999998E-3</v>
      </c>
      <c r="J5" s="58">
        <v>29.8</v>
      </c>
      <c r="K5" s="58">
        <v>273</v>
      </c>
      <c r="L5" s="58">
        <v>8.4500000000000005E-4</v>
      </c>
      <c r="M5" s="33">
        <f>IF(OR(D5=0,F5=0),0,((D5*IF(OR(LOWER(E5)="m³",LOWER(E5)="m3",LOWER(E5)="l",LOWER(E5)="lt"),L5,IF(OR(LOWER(E5)="kg"),0.001,IF(OR(LOWER(E5)="ton",LOWER(E5)="tonne"),1,L5)))/1000)*F5)*G5+((D5*IF(OR(LOWER(E5)="m³",LOWER(E5)="m3",LOWER(E5)="l",LOWER(E5)="lt"),L5,IF(OR(LOWER(E5)="kg"),0.001,IF(OR(LOWER(E5)="ton",LOWER(E5)="tonne"),1,L5)))/1000)*F5)*H5*J5+((D5*IF(OR(LOWER(E5)="m³",LOWER(E5)="m3",LOWER(E5)="l",LOWER(E5)="lt"),L5,IF(OR(LOWER(E5)="kg"),0.001,IF(OR(LOWER(E5)="ton",LOWER(E5)="tonne"),1,L5)))/1000)*F5)*I5*K5)</f>
        <v>336.03808074001989</v>
      </c>
      <c r="N5" s="2" t="s">
        <v>75</v>
      </c>
    </row>
    <row r="6" spans="1:14" ht="20.100000000000001" customHeight="1" x14ac:dyDescent="0.25">
      <c r="A6" s="57"/>
      <c r="B6" s="57"/>
      <c r="C6" s="57"/>
      <c r="D6" s="57"/>
      <c r="E6" s="4"/>
      <c r="F6" s="4"/>
      <c r="G6" s="4"/>
      <c r="H6" s="4"/>
      <c r="I6" s="4"/>
      <c r="J6" s="4"/>
      <c r="K6" s="4"/>
      <c r="L6" s="4"/>
      <c r="M6" s="33">
        <f t="shared" ref="M6:M8" si="0">IF(OR(D6=0,F6=0),0,((D6*IF(OR(LOWER(E6)="m³",LOWER(E6)="m3",LOWER(E6)="l",LOWER(E6)="lt"),L6,IF(OR(LOWER(E6)="kg"),0.001,IF(OR(LOWER(E6)="ton",LOWER(E6)="tonne"),1,L6)))/1000)*F6)*G6+((D6*IF(OR(LOWER(E6)="m³",LOWER(E6)="m3",LOWER(E6)="l",LOWER(E6)="lt"),L6,IF(OR(LOWER(E6)="kg"),0.001,IF(OR(LOWER(E6)="ton",LOWER(E6)="tonne"),1,L6)))/1000)*F6)*H6*J6+((D6*IF(OR(LOWER(E6)="m³",LOWER(E6)="m3",LOWER(E6)="l",LOWER(E6)="lt"),L6,IF(OR(LOWER(E6)="kg"),0.001,IF(OR(LOWER(E6)="ton",LOWER(E6)="tonne"),1,L6)))/1000)*F6)*I6*K6)</f>
        <v>0</v>
      </c>
      <c r="N6" s="2"/>
    </row>
    <row r="7" spans="1:14" ht="20.100000000000001" customHeight="1" x14ac:dyDescent="0.25">
      <c r="A7" s="57">
        <v>2024</v>
      </c>
      <c r="B7" s="57" t="s">
        <v>73</v>
      </c>
      <c r="C7" s="57" t="s">
        <v>62</v>
      </c>
      <c r="D7" s="57">
        <v>139533.07999999999</v>
      </c>
      <c r="E7" s="30" t="s">
        <v>58</v>
      </c>
      <c r="F7" s="58">
        <v>44.3</v>
      </c>
      <c r="G7" s="58">
        <v>69.3</v>
      </c>
      <c r="H7" s="58">
        <v>2.5000000000000001E-2</v>
      </c>
      <c r="I7" s="58">
        <v>8.0000000000000002E-3</v>
      </c>
      <c r="J7" s="58">
        <v>29.8</v>
      </c>
      <c r="K7" s="58">
        <v>273</v>
      </c>
      <c r="L7" s="58">
        <v>7.7499999999999997E-4</v>
      </c>
      <c r="M7" s="33">
        <f t="shared" si="0"/>
        <v>346.01443073362378</v>
      </c>
      <c r="N7" s="2" t="s">
        <v>74</v>
      </c>
    </row>
    <row r="8" spans="1:14" ht="20.100000000000001" customHeight="1" x14ac:dyDescent="0.25">
      <c r="A8" s="57">
        <v>2024</v>
      </c>
      <c r="B8" s="57" t="s">
        <v>73</v>
      </c>
      <c r="C8" s="57" t="s">
        <v>57</v>
      </c>
      <c r="D8" s="57">
        <v>72875.179999999993</v>
      </c>
      <c r="E8" s="30" t="s">
        <v>58</v>
      </c>
      <c r="F8" s="58">
        <v>43</v>
      </c>
      <c r="G8" s="58">
        <v>74.099999999999994</v>
      </c>
      <c r="H8" s="58">
        <v>3.8999999999999998E-3</v>
      </c>
      <c r="I8" s="58">
        <v>3.8999999999999998E-3</v>
      </c>
      <c r="J8" s="58">
        <v>29.8</v>
      </c>
      <c r="K8" s="58">
        <v>273</v>
      </c>
      <c r="L8" s="58">
        <v>8.4500000000000005E-4</v>
      </c>
      <c r="M8" s="33">
        <f t="shared" si="0"/>
        <v>199.33782848987607</v>
      </c>
      <c r="N8" s="2" t="s">
        <v>75</v>
      </c>
    </row>
    <row r="9" spans="1:14" ht="20.100000000000001" customHeight="1" x14ac:dyDescent="0.25">
      <c r="A9" s="57"/>
      <c r="B9" s="57"/>
      <c r="C9" s="57"/>
      <c r="D9" s="57"/>
      <c r="E9" s="4"/>
      <c r="F9" s="4"/>
      <c r="G9" s="4"/>
      <c r="H9" s="4"/>
      <c r="I9" s="4"/>
      <c r="J9" s="4"/>
      <c r="K9" s="4"/>
      <c r="L9" s="4"/>
      <c r="M9" s="33">
        <f t="shared" ref="M9:M13" si="1">IF(OR(D9=0,F9=0),0,((D9*IF(OR(LOWER(E9)="m³",LOWER(E9)="m3",LOWER(E9)="l",LOWER(E9)="lt"),L9,IF(OR(LOWER(E9)="kg"),0.001,IF(OR(LOWER(E9)="ton",LOWER(E9)="tonne"),1,L9)))/1000)*F9)*G9+((D9*IF(OR(LOWER(E9)="m³",LOWER(E9)="m3",LOWER(E9)="l",LOWER(E9)="lt"),L9,IF(OR(LOWER(E9)="kg"),0.001,IF(OR(LOWER(E9)="ton",LOWER(E9)="tonne"),1,L9)))/1000)*F9)*H9*J9+((D9*IF(OR(LOWER(E9)="m³",LOWER(E9)="m3",LOWER(E9)="l",LOWER(E9)="lt"),L9,IF(OR(LOWER(E9)="kg"),0.001,IF(OR(LOWER(E9)="ton",LOWER(E9)="tonne"),1,L9)))/1000)*F9)*I9*K9)</f>
        <v>0</v>
      </c>
      <c r="N9" s="2"/>
    </row>
    <row r="10" spans="1:14" x14ac:dyDescent="0.25">
      <c r="A10" s="57">
        <v>2025</v>
      </c>
      <c r="B10" s="57" t="s">
        <v>73</v>
      </c>
      <c r="C10" s="57" t="s">
        <v>62</v>
      </c>
      <c r="D10" s="57">
        <v>151020.57999999999</v>
      </c>
      <c r="E10" s="30" t="s">
        <v>58</v>
      </c>
      <c r="F10" s="58">
        <v>44.3</v>
      </c>
      <c r="G10" s="58">
        <v>69.3</v>
      </c>
      <c r="H10" s="58">
        <v>2.5000000000000001E-2</v>
      </c>
      <c r="I10" s="58">
        <v>8.0000000000000002E-3</v>
      </c>
      <c r="J10" s="58">
        <v>29.8</v>
      </c>
      <c r="K10" s="58">
        <v>273</v>
      </c>
      <c r="L10" s="58">
        <v>7.7499999999999997E-4</v>
      </c>
      <c r="M10" s="33">
        <f t="shared" si="1"/>
        <v>374.50115784559262</v>
      </c>
      <c r="N10" s="2" t="s">
        <v>74</v>
      </c>
    </row>
    <row r="11" spans="1:14" ht="20.100000000000001" customHeight="1" x14ac:dyDescent="0.25">
      <c r="A11" s="57">
        <v>2025</v>
      </c>
      <c r="B11" s="57" t="s">
        <v>73</v>
      </c>
      <c r="C11" s="57" t="s">
        <v>57</v>
      </c>
      <c r="D11" s="57">
        <v>78573.77</v>
      </c>
      <c r="E11" s="30" t="s">
        <v>58</v>
      </c>
      <c r="F11" s="58">
        <v>43</v>
      </c>
      <c r="G11" s="58">
        <v>74.099999999999994</v>
      </c>
      <c r="H11" s="58">
        <v>3.8999999999999998E-3</v>
      </c>
      <c r="I11" s="58">
        <v>3.8999999999999998E-3</v>
      </c>
      <c r="J11" s="58">
        <v>29.8</v>
      </c>
      <c r="K11" s="58">
        <v>273</v>
      </c>
      <c r="L11" s="58">
        <v>8.4500000000000005E-4</v>
      </c>
      <c r="M11" s="33">
        <f t="shared" si="1"/>
        <v>214.92536537217433</v>
      </c>
      <c r="N11" s="2" t="s">
        <v>75</v>
      </c>
    </row>
    <row r="12" spans="1:14" ht="15" customHeight="1" x14ac:dyDescent="0.25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33">
        <f t="shared" si="1"/>
        <v>0</v>
      </c>
      <c r="N12" s="2"/>
    </row>
    <row r="13" spans="1:14" ht="15" customHeight="1" x14ac:dyDescent="0.25">
      <c r="A13" s="2"/>
      <c r="B13" s="2"/>
      <c r="C13" s="2"/>
      <c r="D13" s="2"/>
      <c r="E13" s="4"/>
      <c r="F13" s="4"/>
      <c r="G13" s="4"/>
      <c r="H13" s="4"/>
      <c r="I13" s="4"/>
      <c r="J13" s="4"/>
      <c r="K13" s="4"/>
      <c r="L13" s="4"/>
      <c r="M13" s="33">
        <f t="shared" si="1"/>
        <v>0</v>
      </c>
      <c r="N13" s="2"/>
    </row>
    <row r="14" spans="1:14" ht="15" customHeight="1" x14ac:dyDescent="0.25"/>
    <row r="16" spans="1:14" ht="15.95" customHeight="1" x14ac:dyDescent="0.25"/>
    <row r="17" spans="1:14" ht="15.95" customHeight="1" x14ac:dyDescent="0.25"/>
    <row r="18" spans="1:14" ht="15.95" customHeight="1" x14ac:dyDescent="0.25"/>
    <row r="19" spans="1:14" ht="15.95" customHeight="1" x14ac:dyDescent="0.25"/>
    <row r="32" spans="1:14" x14ac:dyDescent="0.25">
      <c r="A32" s="41" t="s">
        <v>63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3"/>
    </row>
    <row r="33" spans="1:14" x14ac:dyDescent="0.25">
      <c r="A33" s="39" t="s">
        <v>76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4" x14ac:dyDescent="0.25">
      <c r="A34" s="39" t="s">
        <v>77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spans="1:14" x14ac:dyDescent="0.25">
      <c r="A35" s="39" t="s">
        <v>78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7" spans="1:14" x14ac:dyDescent="0.25">
      <c r="A37" s="5"/>
      <c r="B37" s="6" t="s">
        <v>68</v>
      </c>
    </row>
    <row r="38" spans="1:14" x14ac:dyDescent="0.25">
      <c r="A38" s="7"/>
      <c r="B38" s="8" t="s">
        <v>69</v>
      </c>
    </row>
    <row r="39" spans="1:14" x14ac:dyDescent="0.25">
      <c r="A39" s="9"/>
      <c r="B39" s="10" t="s">
        <v>70</v>
      </c>
    </row>
    <row r="40" spans="1:14" x14ac:dyDescent="0.25">
      <c r="A40" s="11"/>
      <c r="B40" s="12" t="s">
        <v>71</v>
      </c>
    </row>
  </sheetData>
  <mergeCells count="6">
    <mergeCell ref="A1:N1"/>
    <mergeCell ref="A33:N33"/>
    <mergeCell ref="A2:N2"/>
    <mergeCell ref="A32:N32"/>
    <mergeCell ref="A34:N34"/>
    <mergeCell ref="A35:N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workbookViewId="0">
      <selection activeCell="P19" sqref="P19"/>
    </sheetView>
  </sheetViews>
  <sheetFormatPr defaultRowHeight="15" x14ac:dyDescent="0.25"/>
  <cols>
    <col min="1" max="1" width="8" customWidth="1"/>
    <col min="2" max="2" width="35" customWidth="1"/>
    <col min="3" max="4" width="12" customWidth="1"/>
    <col min="5" max="6" width="10" customWidth="1"/>
    <col min="7" max="7" width="8" customWidth="1"/>
    <col min="8" max="8" width="14" customWidth="1"/>
    <col min="9" max="9" width="16" customWidth="1"/>
    <col min="10" max="10" width="10" customWidth="1"/>
    <col min="11" max="11" width="14" customWidth="1"/>
    <col min="12" max="12" width="22" customWidth="1"/>
  </cols>
  <sheetData>
    <row r="1" spans="1:12" ht="21.95" customHeight="1" x14ac:dyDescent="0.25">
      <c r="A1" s="49" t="s">
        <v>79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5.95" customHeight="1" x14ac:dyDescent="0.25">
      <c r="A2" s="47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30" customHeight="1" x14ac:dyDescent="0.25">
      <c r="A3" s="29" t="s">
        <v>38</v>
      </c>
      <c r="B3" s="29" t="s">
        <v>39</v>
      </c>
      <c r="C3" s="29" t="s">
        <v>80</v>
      </c>
      <c r="D3" s="45" t="s">
        <v>81</v>
      </c>
      <c r="E3" s="46"/>
      <c r="F3" s="45" t="s">
        <v>82</v>
      </c>
      <c r="G3" s="46"/>
      <c r="H3" s="45" t="s">
        <v>83</v>
      </c>
      <c r="I3" s="46"/>
      <c r="J3" s="29" t="s">
        <v>84</v>
      </c>
      <c r="K3" s="29" t="s">
        <v>85</v>
      </c>
      <c r="L3" s="29" t="s">
        <v>51</v>
      </c>
    </row>
    <row r="4" spans="1:12" ht="20.100000000000001" customHeight="1" x14ac:dyDescent="0.25">
      <c r="A4" s="31"/>
      <c r="B4" s="31"/>
      <c r="C4" s="31"/>
      <c r="D4" s="31" t="s">
        <v>86</v>
      </c>
      <c r="E4" s="31" t="s">
        <v>87</v>
      </c>
      <c r="F4" s="31" t="s">
        <v>86</v>
      </c>
      <c r="G4" s="31" t="s">
        <v>88</v>
      </c>
      <c r="H4" s="31" t="s">
        <v>86</v>
      </c>
      <c r="I4" s="31" t="s">
        <v>89</v>
      </c>
      <c r="J4" s="31"/>
      <c r="K4" s="31"/>
      <c r="L4" s="31"/>
    </row>
    <row r="5" spans="1:12" ht="20.100000000000001" customHeight="1" x14ac:dyDescent="0.25">
      <c r="A5" s="32">
        <v>2023</v>
      </c>
      <c r="B5" s="32" t="s">
        <v>90</v>
      </c>
      <c r="C5" s="32" t="s">
        <v>91</v>
      </c>
      <c r="D5" s="32">
        <v>0.22625000000000001</v>
      </c>
      <c r="E5" s="32" t="s">
        <v>92</v>
      </c>
      <c r="F5" s="32">
        <v>0.1</v>
      </c>
      <c r="G5" s="32" t="s">
        <v>93</v>
      </c>
      <c r="H5" s="33">
        <f>IF(D5=0,0,D5*F5)</f>
        <v>2.2625000000000003E-2</v>
      </c>
      <c r="I5" s="33" t="str">
        <f>IF(LOWER(E5)="kg","kg R410A","ton R410A")</f>
        <v>ton R410A</v>
      </c>
      <c r="J5" s="30">
        <v>2256</v>
      </c>
      <c r="K5" s="33">
        <f>IF(H5=0,0,IF(LOWER(E5)="kg",H5*J5/1000,IF(LOWER(E5)="ton",H5*J5,H5*J5)))</f>
        <v>51.042000000000009</v>
      </c>
      <c r="L5" s="32" t="s">
        <v>94</v>
      </c>
    </row>
    <row r="6" spans="1:12" ht="20.100000000000001" customHeight="1" x14ac:dyDescent="0.25">
      <c r="A6" s="32">
        <v>2023</v>
      </c>
      <c r="B6" s="32" t="s">
        <v>95</v>
      </c>
      <c r="C6" s="32" t="s">
        <v>96</v>
      </c>
      <c r="D6" s="32">
        <v>1.25E-3</v>
      </c>
      <c r="E6" s="32" t="s">
        <v>92</v>
      </c>
      <c r="F6" s="32">
        <v>0.1</v>
      </c>
      <c r="G6" s="32" t="s">
        <v>93</v>
      </c>
      <c r="H6" s="33">
        <f>IF(D6=0,0,D6*F6)</f>
        <v>1.25E-4</v>
      </c>
      <c r="I6" s="33" t="str">
        <f>IF(LOWER(E6)="kg","kg R32","ton R32")</f>
        <v>ton R32</v>
      </c>
      <c r="J6" s="30">
        <v>771</v>
      </c>
      <c r="K6" s="33">
        <f>IF(H6=0,0,IF(LOWER(E6)="kg",H6*J6/1000,IF(LOWER(E6)="ton",H6*J6,H6*J6)))</f>
        <v>9.6375000000000002E-2</v>
      </c>
      <c r="L6" s="32"/>
    </row>
    <row r="7" spans="1:12" ht="20.100000000000001" customHeight="1" x14ac:dyDescent="0.25">
      <c r="A7" s="32">
        <v>2023</v>
      </c>
      <c r="B7" s="32" t="s">
        <v>97</v>
      </c>
      <c r="C7" s="32" t="s">
        <v>98</v>
      </c>
      <c r="D7" s="32">
        <v>7.0000000000000001E-3</v>
      </c>
      <c r="E7" s="32" t="s">
        <v>92</v>
      </c>
      <c r="F7" s="32">
        <v>1</v>
      </c>
      <c r="G7" s="32" t="s">
        <v>93</v>
      </c>
      <c r="H7" s="33">
        <f>IF(D7=0,0,D7*F7)</f>
        <v>7.0000000000000001E-3</v>
      </c>
      <c r="I7" s="33" t="str">
        <f>IF(LOWER(E7)="kg","kg R407c","ton R407c")</f>
        <v>ton R407c</v>
      </c>
      <c r="J7" s="30">
        <v>1908</v>
      </c>
      <c r="K7" s="33">
        <f>IF(H7=0,0,IF(LOWER(E7)="kg",H7*J7/1000,IF(LOWER(E7)="ton",H7*J7,H7*J7)))</f>
        <v>13.356</v>
      </c>
      <c r="L7" s="32" t="s">
        <v>99</v>
      </c>
    </row>
    <row r="8" spans="1:12" ht="20.100000000000001" customHeight="1" x14ac:dyDescent="0.25">
      <c r="A8" s="32">
        <v>2023</v>
      </c>
      <c r="B8" s="32" t="s">
        <v>100</v>
      </c>
      <c r="C8" s="32" t="s">
        <v>101</v>
      </c>
      <c r="D8" s="32">
        <v>7.0000000000000007E-2</v>
      </c>
      <c r="E8" s="32" t="s">
        <v>92</v>
      </c>
      <c r="F8" s="32">
        <v>1</v>
      </c>
      <c r="G8" s="32" t="s">
        <v>93</v>
      </c>
      <c r="H8" s="33">
        <f>IF(D8=0,0,D8*F8)</f>
        <v>7.0000000000000007E-2</v>
      </c>
      <c r="I8" s="33" t="str">
        <f>IF(LOWER(E8)="kg","kg HFC236fa","ton HFC236fa")</f>
        <v>ton HFC236fa</v>
      </c>
      <c r="J8" s="30">
        <v>8690</v>
      </c>
      <c r="K8" s="33">
        <f>IF(H8=0,0,IF(LOWER(E8)="kg",H8*J8/1000,IF(LOWER(E8)="ton",H8*J8,H8*J8)))</f>
        <v>608.30000000000007</v>
      </c>
      <c r="L8" s="32"/>
    </row>
    <row r="9" spans="1:12" ht="20.100000000000001" customHeight="1" x14ac:dyDescent="0.25">
      <c r="A9" s="32">
        <v>2023</v>
      </c>
      <c r="B9" s="32" t="s">
        <v>102</v>
      </c>
      <c r="C9" s="32" t="s">
        <v>103</v>
      </c>
      <c r="D9" s="32">
        <v>6.4000000000000001E-2</v>
      </c>
      <c r="E9" s="32" t="s">
        <v>92</v>
      </c>
      <c r="F9" s="32">
        <v>0.02</v>
      </c>
      <c r="G9" s="32" t="s">
        <v>93</v>
      </c>
      <c r="H9" s="33">
        <f>IF(D9=0,0,D9*F9)</f>
        <v>1.2800000000000001E-3</v>
      </c>
      <c r="I9" s="33" t="str">
        <f>IF(LOWER(E9)="kg","kg FM200","ton FM200")</f>
        <v>ton FM200</v>
      </c>
      <c r="J9" s="30">
        <v>3600</v>
      </c>
      <c r="K9" s="33">
        <f>IF(H9=0,0,IF(LOWER(E9)="kg",H9*J9/1000,IF(LOWER(E9)="ton",H9*J9,H9*J9)))</f>
        <v>4.6080000000000005</v>
      </c>
      <c r="L9" s="32"/>
    </row>
    <row r="10" spans="1:12" s="60" customFormat="1" ht="20.100000000000001" customHeight="1" x14ac:dyDescent="0.25">
      <c r="A10" s="32"/>
      <c r="B10" s="32"/>
      <c r="C10" s="32"/>
      <c r="D10" s="32"/>
      <c r="E10" s="32"/>
      <c r="F10" s="32"/>
      <c r="G10" s="32"/>
      <c r="H10" s="33"/>
      <c r="I10" s="33"/>
      <c r="J10" s="30"/>
      <c r="K10" s="33"/>
      <c r="L10" s="32"/>
    </row>
    <row r="11" spans="1:12" x14ac:dyDescent="0.25">
      <c r="A11" s="32">
        <v>2024</v>
      </c>
      <c r="B11" s="32" t="s">
        <v>90</v>
      </c>
      <c r="C11" s="32" t="s">
        <v>91</v>
      </c>
      <c r="D11" s="32">
        <v>0.22625000000000001</v>
      </c>
      <c r="E11" s="32" t="s">
        <v>92</v>
      </c>
      <c r="F11" s="32">
        <v>0.1</v>
      </c>
      <c r="G11" s="32" t="s">
        <v>93</v>
      </c>
      <c r="H11" s="33">
        <f>IF(D11=0,0,D11*F11)</f>
        <v>2.2625000000000003E-2</v>
      </c>
      <c r="I11" s="33" t="str">
        <f>IF(LOWER(E11)="kg","kg R410A","ton R410A")</f>
        <v>ton R410A</v>
      </c>
      <c r="J11" s="30">
        <v>2256</v>
      </c>
      <c r="K11" s="33">
        <f>IF(H11=0,0,IF(LOWER(E11)="kg",H11*J11/1000,IF(LOWER(E11)="ton",H11*J11,H11*J11)))</f>
        <v>51.042000000000009</v>
      </c>
      <c r="L11" s="32" t="s">
        <v>94</v>
      </c>
    </row>
    <row r="12" spans="1:12" ht="24" customHeight="1" x14ac:dyDescent="0.25">
      <c r="A12" s="32">
        <v>2024</v>
      </c>
      <c r="B12" s="32" t="s">
        <v>95</v>
      </c>
      <c r="C12" s="32" t="s">
        <v>96</v>
      </c>
      <c r="D12" s="32">
        <v>1.25E-3</v>
      </c>
      <c r="E12" s="32" t="s">
        <v>92</v>
      </c>
      <c r="F12" s="32">
        <v>0.1</v>
      </c>
      <c r="G12" s="32" t="s">
        <v>93</v>
      </c>
      <c r="H12" s="33">
        <f>IF(D12=0,0,D12*F12)</f>
        <v>1.25E-4</v>
      </c>
      <c r="I12" s="33" t="str">
        <f>IF(LOWER(E12)="kg","kg R32","ton R32")</f>
        <v>ton R32</v>
      </c>
      <c r="J12" s="30">
        <v>771</v>
      </c>
      <c r="K12" s="33">
        <f>IF(H12=0,0,IF(LOWER(E12)="kg",H12*J12/1000,IF(LOWER(E12)="ton",H12*J12,H12*J12)))</f>
        <v>9.6375000000000002E-2</v>
      </c>
      <c r="L12" s="32"/>
    </row>
    <row r="13" spans="1:12" x14ac:dyDescent="0.25">
      <c r="A13" s="32">
        <v>2024</v>
      </c>
      <c r="B13" s="32" t="s">
        <v>97</v>
      </c>
      <c r="C13" s="32" t="s">
        <v>98</v>
      </c>
      <c r="D13" s="32">
        <v>7.4999999999999997E-3</v>
      </c>
      <c r="E13" s="32" t="s">
        <v>92</v>
      </c>
      <c r="F13" s="32">
        <v>1</v>
      </c>
      <c r="G13" s="32" t="s">
        <v>93</v>
      </c>
      <c r="H13" s="33">
        <f>IF(D13=0,0,D13*F13)</f>
        <v>7.4999999999999997E-3</v>
      </c>
      <c r="I13" s="33" t="str">
        <f>IF(LOWER(E13)="kg","kg R407c","ton R407c")</f>
        <v>ton R407c</v>
      </c>
      <c r="J13" s="30">
        <v>1908</v>
      </c>
      <c r="K13" s="33">
        <f>IF(H13=0,0,IF(LOWER(E13)="kg",H13*J13/1000,IF(LOWER(E13)="ton",H13*J13,H13*J13)))</f>
        <v>14.309999999999999</v>
      </c>
      <c r="L13" s="32" t="s">
        <v>99</v>
      </c>
    </row>
    <row r="14" spans="1:12" x14ac:dyDescent="0.25">
      <c r="A14" s="32">
        <v>2024</v>
      </c>
      <c r="B14" s="32" t="s">
        <v>100</v>
      </c>
      <c r="C14" s="32" t="s">
        <v>101</v>
      </c>
      <c r="D14" s="32">
        <v>1.2E-2</v>
      </c>
      <c r="E14" s="32" t="s">
        <v>92</v>
      </c>
      <c r="F14" s="32">
        <v>1</v>
      </c>
      <c r="G14" s="32" t="s">
        <v>93</v>
      </c>
      <c r="H14" s="33">
        <f>IF(D14=0,0,D14*F14)</f>
        <v>1.2E-2</v>
      </c>
      <c r="I14" s="33" t="str">
        <f>IF(LOWER(E14)="kg","kg HFC236fa","ton HFC236fa")</f>
        <v>ton HFC236fa</v>
      </c>
      <c r="J14" s="30">
        <v>8690</v>
      </c>
      <c r="K14" s="33">
        <f>IF(H14=0,0,IF(LOWER(E14)="kg",H14*J14/1000,IF(LOWER(E14)="ton",H14*J14,H14*J14)))</f>
        <v>104.28</v>
      </c>
      <c r="L14" s="32"/>
    </row>
    <row r="15" spans="1:12" x14ac:dyDescent="0.25">
      <c r="A15" s="32">
        <v>2024</v>
      </c>
      <c r="B15" s="32" t="s">
        <v>102</v>
      </c>
      <c r="C15" s="32" t="s">
        <v>103</v>
      </c>
      <c r="D15" s="32">
        <v>6.4000000000000001E-2</v>
      </c>
      <c r="E15" s="32" t="s">
        <v>92</v>
      </c>
      <c r="F15" s="32">
        <v>0.02</v>
      </c>
      <c r="G15" s="32" t="s">
        <v>93</v>
      </c>
      <c r="H15" s="33">
        <f>IF(D15=0,0,D15*F15)</f>
        <v>1.2800000000000001E-3</v>
      </c>
      <c r="I15" s="33" t="str">
        <f>IF(LOWER(E15)="kg","kg FM200","ton FM200")</f>
        <v>ton FM200</v>
      </c>
      <c r="J15" s="30">
        <v>3600</v>
      </c>
      <c r="K15" s="33">
        <f>IF(H15=0,0,IF(LOWER(E15)="kg",H15*J15/1000,IF(LOWER(E15)="ton",H15*J15,H15*J15)))</f>
        <v>4.6080000000000005</v>
      </c>
      <c r="L15" s="32"/>
    </row>
    <row r="16" spans="1:12" s="60" customFormat="1" x14ac:dyDescent="0.25">
      <c r="A16" s="32"/>
      <c r="B16" s="32"/>
      <c r="C16" s="32"/>
      <c r="D16" s="32"/>
      <c r="E16" s="32"/>
      <c r="F16" s="32"/>
      <c r="G16" s="32"/>
      <c r="H16" s="33"/>
      <c r="I16" s="33"/>
      <c r="J16" s="30"/>
      <c r="K16" s="33"/>
      <c r="L16" s="32"/>
    </row>
    <row r="17" spans="1:12" x14ac:dyDescent="0.25">
      <c r="A17" s="32">
        <v>2025</v>
      </c>
      <c r="B17" s="32" t="s">
        <v>346</v>
      </c>
      <c r="C17" s="57" t="s">
        <v>347</v>
      </c>
      <c r="D17" s="32">
        <v>4.6000000000000001E-4</v>
      </c>
      <c r="E17" s="32" t="s">
        <v>92</v>
      </c>
      <c r="F17" s="32">
        <v>5.0000000000000001E-3</v>
      </c>
      <c r="G17" s="32" t="s">
        <v>93</v>
      </c>
      <c r="H17" s="33">
        <f>IF(D17=0,0,D17*F17)</f>
        <v>2.3E-6</v>
      </c>
      <c r="I17" s="33" t="str">
        <f>IF(LOWER(E17)="kg","kg R410A","ton R410A")</f>
        <v>ton R410A</v>
      </c>
      <c r="J17" s="30">
        <v>1530</v>
      </c>
      <c r="K17" s="33">
        <f>IF(H17=0,0,IF(LOWER(E17)="kg",H17*J17/1000,IF(LOWER(E17)="ton",H17*J17,H17*J17)))</f>
        <v>3.519E-3</v>
      </c>
      <c r="L17" s="32" t="s">
        <v>94</v>
      </c>
    </row>
    <row r="18" spans="1:12" x14ac:dyDescent="0.25">
      <c r="A18" s="32">
        <v>2025</v>
      </c>
      <c r="B18" s="32" t="s">
        <v>348</v>
      </c>
      <c r="C18" s="57" t="s">
        <v>349</v>
      </c>
      <c r="D18" s="32">
        <v>4.0000000000000003E-5</v>
      </c>
      <c r="E18" s="32" t="s">
        <v>92</v>
      </c>
      <c r="F18" s="32">
        <v>5.0000000000000001E-3</v>
      </c>
      <c r="G18" s="32" t="s">
        <v>93</v>
      </c>
      <c r="H18" s="33">
        <f>IF(D18=0,0,D18*F18)</f>
        <v>2.0000000000000002E-7</v>
      </c>
      <c r="I18" s="33" t="str">
        <f>IF(LOWER(E18)="kg","kg R32","ton R32")</f>
        <v>ton R32</v>
      </c>
      <c r="J18" s="30">
        <v>3</v>
      </c>
      <c r="K18" s="33">
        <f>IF(H18=0,0,IF(LOWER(E18)="kg",H18*J18/1000,IF(LOWER(E18)="ton",H18*J18,H18*J18)))</f>
        <v>6.0000000000000008E-7</v>
      </c>
      <c r="L18" s="32"/>
    </row>
    <row r="19" spans="1:12" x14ac:dyDescent="0.25">
      <c r="A19" s="32">
        <v>2025</v>
      </c>
      <c r="B19" s="32" t="s">
        <v>90</v>
      </c>
      <c r="C19" s="32" t="s">
        <v>91</v>
      </c>
      <c r="D19" s="32">
        <v>0.22625000000000001</v>
      </c>
      <c r="E19" s="32" t="s">
        <v>92</v>
      </c>
      <c r="F19" s="32">
        <v>0.1</v>
      </c>
      <c r="G19" s="32" t="s">
        <v>93</v>
      </c>
      <c r="H19" s="33">
        <f>IF(D19=0,0,D19*F19)</f>
        <v>2.2625000000000003E-2</v>
      </c>
      <c r="I19" s="33" t="str">
        <f>IF(LOWER(E19)="kg","kg R407c","ton R407c")</f>
        <v>ton R407c</v>
      </c>
      <c r="J19" s="30">
        <v>2256</v>
      </c>
      <c r="K19" s="33">
        <f>IF(H19=0,0,IF(LOWER(E19)="kg",H19*J19/1000,IF(LOWER(E19)="ton",H19*J19,H19*J19)))</f>
        <v>51.042000000000009</v>
      </c>
      <c r="L19" s="32" t="s">
        <v>99</v>
      </c>
    </row>
    <row r="20" spans="1:12" x14ac:dyDescent="0.25">
      <c r="A20" s="32">
        <v>2025</v>
      </c>
      <c r="B20" s="32" t="s">
        <v>95</v>
      </c>
      <c r="C20" s="32" t="s">
        <v>96</v>
      </c>
      <c r="D20" s="32">
        <v>1.25E-3</v>
      </c>
      <c r="E20" s="32" t="s">
        <v>92</v>
      </c>
      <c r="F20" s="32">
        <v>0.1</v>
      </c>
      <c r="G20" s="32" t="s">
        <v>93</v>
      </c>
      <c r="H20" s="33">
        <f>IF(D20=0,0,D20*F20)</f>
        <v>1.25E-4</v>
      </c>
      <c r="I20" s="33" t="str">
        <f>IF(LOWER(E20)="kg","kg HFC236fa","ton HFC236fa")</f>
        <v>ton HFC236fa</v>
      </c>
      <c r="J20" s="30">
        <v>771</v>
      </c>
      <c r="K20" s="33">
        <f>IF(H20=0,0,IF(LOWER(E20)="kg",H20*J20/1000,IF(LOWER(E20)="ton",H20*J20,H20*J20)))</f>
        <v>9.6375000000000002E-2</v>
      </c>
      <c r="L20" s="32"/>
    </row>
    <row r="21" spans="1:12" x14ac:dyDescent="0.25">
      <c r="A21" s="32">
        <v>2025</v>
      </c>
      <c r="B21" s="32" t="s">
        <v>97</v>
      </c>
      <c r="C21" s="32" t="s">
        <v>98</v>
      </c>
      <c r="D21" s="32">
        <v>7.4999999999999997E-3</v>
      </c>
      <c r="E21" s="32" t="s">
        <v>92</v>
      </c>
      <c r="F21" s="32">
        <v>1</v>
      </c>
      <c r="G21" s="32" t="s">
        <v>93</v>
      </c>
      <c r="H21" s="33">
        <f>IF(D21=0,0,D21*F21)</f>
        <v>7.4999999999999997E-3</v>
      </c>
      <c r="I21" s="33" t="str">
        <f>IF(LOWER(E21)="kg","kg R410A","ton R410A")</f>
        <v>ton R410A</v>
      </c>
      <c r="J21" s="30">
        <v>1908</v>
      </c>
      <c r="K21" s="33">
        <f>IF(H21=0,0,IF(LOWER(E21)="kg",H21*J21/1000,IF(LOWER(E21)="ton",H21*J21,H21*J21)))</f>
        <v>14.309999999999999</v>
      </c>
      <c r="L21" s="32" t="s">
        <v>94</v>
      </c>
    </row>
    <row r="22" spans="1:12" x14ac:dyDescent="0.25">
      <c r="A22" s="32">
        <v>2025</v>
      </c>
      <c r="B22" s="32" t="s">
        <v>100</v>
      </c>
      <c r="C22" s="32" t="s">
        <v>101</v>
      </c>
      <c r="D22" s="32">
        <v>1.2E-2</v>
      </c>
      <c r="E22" s="32" t="s">
        <v>92</v>
      </c>
      <c r="F22" s="32">
        <v>1</v>
      </c>
      <c r="G22" s="32" t="s">
        <v>93</v>
      </c>
      <c r="H22" s="33">
        <f>IF(D22=0,0,D22*F22)</f>
        <v>1.2E-2</v>
      </c>
      <c r="I22" s="33" t="str">
        <f>IF(LOWER(E22)="kg","kg R32","ton R32")</f>
        <v>ton R32</v>
      </c>
      <c r="J22" s="30">
        <v>8690</v>
      </c>
      <c r="K22" s="33">
        <f>IF(H22=0,0,IF(LOWER(E22)="kg",H22*J22/1000,IF(LOWER(E22)="ton",H22*J22,H22*J22)))</f>
        <v>104.28</v>
      </c>
      <c r="L22" s="32"/>
    </row>
    <row r="23" spans="1:12" s="83" customFormat="1" x14ac:dyDescent="0.25">
      <c r="A23" s="32">
        <v>2025</v>
      </c>
      <c r="B23" s="32" t="s">
        <v>350</v>
      </c>
      <c r="C23" s="57" t="s">
        <v>351</v>
      </c>
      <c r="D23" s="32">
        <v>2.9000000000000001E-2</v>
      </c>
      <c r="E23" s="57" t="s">
        <v>92</v>
      </c>
      <c r="F23" s="32">
        <v>0.02</v>
      </c>
      <c r="G23" s="57" t="s">
        <v>93</v>
      </c>
      <c r="H23" s="33">
        <f>IF(D23=0,0,D23*F23)</f>
        <v>5.8E-4</v>
      </c>
      <c r="I23" s="62" t="s">
        <v>352</v>
      </c>
      <c r="J23" s="30">
        <v>3220</v>
      </c>
      <c r="K23" s="33">
        <f>IF(H23=0,0,IF(LOWER(E23)="kg",H23*J23/1000,IF(LOWER(E23)="ton",H23*J23,H23*J23)))</f>
        <v>1.8675999999999999</v>
      </c>
      <c r="L23" s="32"/>
    </row>
    <row r="24" spans="1:12" x14ac:dyDescent="0.25">
      <c r="A24" s="32">
        <v>2025</v>
      </c>
      <c r="B24" s="32" t="s">
        <v>102</v>
      </c>
      <c r="C24" s="32" t="s">
        <v>103</v>
      </c>
      <c r="D24" s="32">
        <v>0.128</v>
      </c>
      <c r="E24" s="32" t="s">
        <v>92</v>
      </c>
      <c r="F24" s="32">
        <v>0.02</v>
      </c>
      <c r="G24" s="32" t="s">
        <v>93</v>
      </c>
      <c r="H24" s="33">
        <f>IF(D24=0,0,D24*F24)</f>
        <v>2.5600000000000002E-3</v>
      </c>
      <c r="I24" s="33" t="str">
        <f>IF(LOWER(E24)="kg","kg R407c","ton R407c")</f>
        <v>ton R407c</v>
      </c>
      <c r="J24" s="30">
        <v>3600</v>
      </c>
      <c r="K24" s="33">
        <f>IF(H24=0,0,IF(LOWER(E24)="kg",H24*J24/1000,IF(LOWER(E24)="ton",H24*J24,H24*J24)))</f>
        <v>9.2160000000000011</v>
      </c>
      <c r="L24" s="32" t="s">
        <v>99</v>
      </c>
    </row>
    <row r="25" spans="1:12" ht="25.5" x14ac:dyDescent="0.25">
      <c r="A25" s="32">
        <v>2025</v>
      </c>
      <c r="B25" s="74" t="s">
        <v>353</v>
      </c>
      <c r="C25" s="57" t="s">
        <v>354</v>
      </c>
      <c r="D25" s="32">
        <v>9.1999999999999998E-2</v>
      </c>
      <c r="E25" s="57" t="s">
        <v>92</v>
      </c>
      <c r="F25" s="32">
        <v>0.02</v>
      </c>
      <c r="G25" s="57" t="s">
        <v>93</v>
      </c>
      <c r="H25" s="33">
        <f>IF(D25=0,0,D25*F25)</f>
        <v>1.8400000000000001E-3</v>
      </c>
      <c r="I25" s="62" t="s">
        <v>355</v>
      </c>
      <c r="J25" s="30">
        <v>1</v>
      </c>
      <c r="K25" s="33">
        <f>IF(H25=0,0,IF(LOWER(E25)="kg",H25*J25/1000,IF(LOWER(E25)="ton",H25*J25,H25*J25)))</f>
        <v>1.8400000000000001E-3</v>
      </c>
      <c r="L25" s="32"/>
    </row>
    <row r="26" spans="1:12" x14ac:dyDescent="0.25">
      <c r="A26" s="32"/>
      <c r="B26" s="32"/>
      <c r="C26" s="32"/>
      <c r="D26" s="32"/>
      <c r="E26" s="32"/>
      <c r="F26" s="32"/>
      <c r="G26" s="32"/>
      <c r="H26" s="33">
        <f>IF(D26=0,0,D26*F26)</f>
        <v>0</v>
      </c>
      <c r="I26" s="33"/>
      <c r="J26" s="30"/>
      <c r="K26" s="33">
        <f>IF(H26=0,0,IF(LOWER(E26)="kg",H26*J26/1000,IF(LOWER(E26)="ton",H26*J26,H26*J26)))</f>
        <v>0</v>
      </c>
      <c r="L26" s="32"/>
    </row>
    <row r="43" spans="1:12" x14ac:dyDescent="0.25">
      <c r="A43" s="48" t="s">
        <v>104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</row>
  </sheetData>
  <mergeCells count="6">
    <mergeCell ref="F3:G3"/>
    <mergeCell ref="A2:L2"/>
    <mergeCell ref="A43:L43"/>
    <mergeCell ref="A1:L1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showGridLines="0" workbookViewId="0">
      <selection activeCell="N12" sqref="N12"/>
    </sheetView>
  </sheetViews>
  <sheetFormatPr defaultRowHeight="15" x14ac:dyDescent="0.25"/>
  <cols>
    <col min="1" max="1" width="8" customWidth="1"/>
    <col min="2" max="2" width="18" customWidth="1"/>
    <col min="3" max="5" width="14" customWidth="1"/>
    <col min="6" max="6" width="28" customWidth="1"/>
    <col min="7" max="7" width="14.42578125" customWidth="1"/>
  </cols>
  <sheetData>
    <row r="1" spans="1:7" ht="33.950000000000003" customHeight="1" x14ac:dyDescent="0.25">
      <c r="A1" s="44" t="s">
        <v>105</v>
      </c>
      <c r="B1" s="35"/>
      <c r="C1" s="35"/>
      <c r="D1" s="35"/>
      <c r="E1" s="35"/>
      <c r="F1" s="35"/>
    </row>
    <row r="2" spans="1:7" ht="15" customHeight="1" x14ac:dyDescent="0.25">
      <c r="A2" s="40" t="s">
        <v>37</v>
      </c>
      <c r="B2" s="35"/>
      <c r="C2" s="35"/>
      <c r="D2" s="35"/>
      <c r="E2" s="35"/>
      <c r="F2" s="35"/>
    </row>
    <row r="3" spans="1:7" ht="38.1" customHeight="1" x14ac:dyDescent="0.25">
      <c r="A3" s="1" t="s">
        <v>38</v>
      </c>
      <c r="B3" s="29" t="s">
        <v>106</v>
      </c>
      <c r="C3" s="29" t="s">
        <v>107</v>
      </c>
      <c r="D3" s="1" t="s">
        <v>108</v>
      </c>
      <c r="E3" s="1" t="s">
        <v>109</v>
      </c>
      <c r="F3" s="1" t="s">
        <v>110</v>
      </c>
      <c r="G3" s="1" t="s">
        <v>51</v>
      </c>
    </row>
    <row r="4" spans="1:7" ht="20.100000000000001" customHeight="1" x14ac:dyDescent="0.25">
      <c r="A4" s="2">
        <v>2023</v>
      </c>
      <c r="B4" s="2">
        <v>998.13</v>
      </c>
      <c r="C4" s="58" t="s">
        <v>356</v>
      </c>
      <c r="D4" s="4">
        <v>0.442</v>
      </c>
      <c r="E4" s="4" t="s">
        <v>111</v>
      </c>
      <c r="F4" s="33">
        <f>IF(B4=0,0,B4*IF(LOWER(C4)="kwh",1/1000,IF(LOWER(C4)="mwh",1,IF(LOWER(C4)="gwh",1000,1/1000)))*D4)</f>
        <v>441.17345999999998</v>
      </c>
      <c r="G4" s="2" t="s">
        <v>112</v>
      </c>
    </row>
    <row r="5" spans="1:7" ht="20.100000000000001" customHeight="1" x14ac:dyDescent="0.25">
      <c r="A5" s="2">
        <v>2024</v>
      </c>
      <c r="B5" s="2">
        <v>1027.73</v>
      </c>
      <c r="C5" s="58" t="s">
        <v>356</v>
      </c>
      <c r="D5" s="4">
        <v>0.442</v>
      </c>
      <c r="E5" s="4"/>
      <c r="F5" s="33">
        <f t="shared" ref="F5:F9" si="0">IF(B5=0,0,B5*IF(LOWER(C5)="kwh",1/1000,IF(LOWER(C5)="mwh",1,IF(LOWER(C5)="gwh",1000,1/1000)))*D5)</f>
        <v>454.25666000000001</v>
      </c>
      <c r="G5" s="2" t="s">
        <v>357</v>
      </c>
    </row>
    <row r="6" spans="1:7" ht="20.100000000000001" customHeight="1" x14ac:dyDescent="0.25">
      <c r="A6" s="2">
        <v>2025</v>
      </c>
      <c r="B6" s="2">
        <v>1416.24</v>
      </c>
      <c r="C6" s="58" t="s">
        <v>356</v>
      </c>
      <c r="D6" s="4">
        <v>0.46899999999999997</v>
      </c>
      <c r="E6" s="4"/>
      <c r="F6" s="33">
        <f t="shared" si="0"/>
        <v>664.21655999999996</v>
      </c>
      <c r="G6" s="2" t="s">
        <v>357</v>
      </c>
    </row>
    <row r="7" spans="1:7" ht="20.100000000000001" customHeight="1" x14ac:dyDescent="0.25">
      <c r="A7" s="2"/>
      <c r="B7" s="2"/>
      <c r="C7" s="58" t="s">
        <v>356</v>
      </c>
      <c r="D7" s="4"/>
      <c r="E7" s="4"/>
      <c r="F7" s="33">
        <f t="shared" si="0"/>
        <v>0</v>
      </c>
      <c r="G7" s="2"/>
    </row>
    <row r="8" spans="1:7" ht="20.100000000000001" customHeight="1" x14ac:dyDescent="0.25">
      <c r="A8" s="2"/>
      <c r="B8" s="2"/>
      <c r="C8" s="58" t="s">
        <v>356</v>
      </c>
      <c r="D8" s="4"/>
      <c r="E8" s="4"/>
      <c r="F8" s="33">
        <f t="shared" si="0"/>
        <v>0</v>
      </c>
      <c r="G8" s="2"/>
    </row>
    <row r="9" spans="1:7" ht="20.100000000000001" customHeight="1" x14ac:dyDescent="0.25">
      <c r="A9" s="2"/>
      <c r="B9" s="2"/>
      <c r="C9" s="58" t="s">
        <v>356</v>
      </c>
      <c r="D9" s="4"/>
      <c r="E9" s="4"/>
      <c r="F9" s="33">
        <f t="shared" si="0"/>
        <v>0</v>
      </c>
      <c r="G9" s="2"/>
    </row>
    <row r="11" spans="1:7" ht="20.100000000000001" customHeight="1" x14ac:dyDescent="0.25">
      <c r="A11" s="41" t="s">
        <v>63</v>
      </c>
      <c r="B11" s="42"/>
      <c r="C11" s="42"/>
      <c r="D11" s="42"/>
      <c r="E11" s="42"/>
      <c r="F11" s="43"/>
      <c r="G11" s="28"/>
    </row>
    <row r="12" spans="1:7" ht="15" customHeight="1" x14ac:dyDescent="0.25">
      <c r="A12" s="39" t="s">
        <v>113</v>
      </c>
      <c r="B12" s="35"/>
      <c r="C12" s="35"/>
      <c r="D12" s="35"/>
      <c r="E12" s="35"/>
      <c r="F12" s="35"/>
    </row>
    <row r="13" spans="1:7" ht="15" customHeight="1" x14ac:dyDescent="0.25">
      <c r="A13" s="39" t="s">
        <v>114</v>
      </c>
      <c r="B13" s="35"/>
      <c r="C13" s="35"/>
      <c r="D13" s="35"/>
      <c r="E13" s="35"/>
      <c r="F13" s="35"/>
    </row>
    <row r="14" spans="1:7" ht="15" customHeight="1" x14ac:dyDescent="0.25">
      <c r="A14" s="39" t="s">
        <v>115</v>
      </c>
      <c r="B14" s="35"/>
      <c r="C14" s="35"/>
      <c r="D14" s="35"/>
      <c r="E14" s="35"/>
      <c r="F14" s="35"/>
    </row>
    <row r="16" spans="1:7" ht="15.95" customHeight="1" x14ac:dyDescent="0.25">
      <c r="A16" s="5"/>
      <c r="B16" s="6" t="s">
        <v>68</v>
      </c>
    </row>
    <row r="17" spans="1:2" ht="15.95" customHeight="1" x14ac:dyDescent="0.25">
      <c r="A17" s="7"/>
      <c r="B17" s="8" t="s">
        <v>69</v>
      </c>
    </row>
    <row r="18" spans="1:2" ht="15.95" customHeight="1" x14ac:dyDescent="0.25">
      <c r="A18" s="9"/>
      <c r="B18" s="10" t="s">
        <v>70</v>
      </c>
    </row>
    <row r="19" spans="1:2" ht="15.95" customHeight="1" x14ac:dyDescent="0.25">
      <c r="A19" s="11"/>
      <c r="B19" s="12" t="s">
        <v>71</v>
      </c>
    </row>
  </sheetData>
  <mergeCells count="6">
    <mergeCell ref="A2:F2"/>
    <mergeCell ref="A11:F11"/>
    <mergeCell ref="A13:F13"/>
    <mergeCell ref="A14:F14"/>
    <mergeCell ref="A1:F1"/>
    <mergeCell ref="A12:F12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showGridLines="0" workbookViewId="0">
      <selection activeCell="M9" sqref="M9"/>
    </sheetView>
  </sheetViews>
  <sheetFormatPr defaultRowHeight="15" x14ac:dyDescent="0.25"/>
  <cols>
    <col min="1" max="1" width="8" customWidth="1"/>
    <col min="2" max="2" width="10" customWidth="1"/>
    <col min="3" max="3" width="24" customWidth="1"/>
    <col min="4" max="4" width="22" customWidth="1"/>
    <col min="5" max="5" width="18" customWidth="1"/>
    <col min="6" max="8" width="14" customWidth="1"/>
    <col min="9" max="9" width="24" customWidth="1"/>
  </cols>
  <sheetData>
    <row r="1" spans="1:10" ht="33.950000000000003" customHeight="1" x14ac:dyDescent="0.25">
      <c r="A1" s="44" t="s">
        <v>116</v>
      </c>
      <c r="B1" s="35"/>
      <c r="C1" s="35"/>
      <c r="D1" s="35"/>
      <c r="E1" s="35"/>
      <c r="F1" s="35"/>
      <c r="G1" s="35"/>
      <c r="H1" s="35"/>
      <c r="I1" s="35"/>
    </row>
    <row r="2" spans="1:10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10" ht="38.1" customHeight="1" x14ac:dyDescent="0.25">
      <c r="A3" s="1" t="s">
        <v>38</v>
      </c>
      <c r="B3" s="1" t="s">
        <v>117</v>
      </c>
      <c r="C3" s="1" t="s">
        <v>39</v>
      </c>
      <c r="D3" s="1" t="s">
        <v>118</v>
      </c>
      <c r="E3" s="1" t="s">
        <v>119</v>
      </c>
      <c r="F3" s="29" t="s">
        <v>120</v>
      </c>
      <c r="G3" s="29" t="s">
        <v>121</v>
      </c>
      <c r="H3" s="1" t="s">
        <v>122</v>
      </c>
      <c r="I3" s="1" t="s">
        <v>110</v>
      </c>
      <c r="J3" s="1" t="s">
        <v>51</v>
      </c>
    </row>
    <row r="4" spans="1:10" ht="20.100000000000001" customHeight="1" x14ac:dyDescent="0.25">
      <c r="A4" s="22">
        <v>2023</v>
      </c>
      <c r="B4" s="2" t="s">
        <v>123</v>
      </c>
      <c r="C4" s="2" t="s">
        <v>124</v>
      </c>
      <c r="D4" s="2" t="s">
        <v>125</v>
      </c>
      <c r="E4" s="2" t="s">
        <v>126</v>
      </c>
      <c r="F4" s="2">
        <v>0</v>
      </c>
      <c r="G4" s="30" t="s">
        <v>127</v>
      </c>
      <c r="H4" s="16">
        <v>8.2229999999999998E-2</v>
      </c>
      <c r="I4" s="33">
        <f>IF(F4=0,0,F4*IF(LOWER(G4)="km",1,IF(OR(LOWER(G4)="mil",LOWER(G4)="mile",LOWER(G4)="miles"),1.60934,IF(LOWER(G4)="m",0.001,1)))*H4/1000)</f>
        <v>0</v>
      </c>
      <c r="J4" s="2"/>
    </row>
    <row r="5" spans="1:10" ht="20.100000000000001" customHeight="1" x14ac:dyDescent="0.25">
      <c r="A5" s="22">
        <v>2023</v>
      </c>
      <c r="B5" s="2" t="s">
        <v>128</v>
      </c>
      <c r="C5" s="2" t="s">
        <v>124</v>
      </c>
      <c r="D5" s="2" t="s">
        <v>129</v>
      </c>
      <c r="E5" s="2" t="s">
        <v>130</v>
      </c>
      <c r="F5" s="2">
        <v>0</v>
      </c>
      <c r="G5" s="30" t="s">
        <v>127</v>
      </c>
      <c r="H5" s="17">
        <v>0.14843999999999999</v>
      </c>
      <c r="I5" s="33">
        <f>IF(F5=0,0,F5*IF(LOWER(G5)="km",1,IF(OR(LOWER(G5)="mil",LOWER(G5)="mile",LOWER(G5)="miles"),1.60934,IF(LOWER(G5)="m",0.001,1)))*H5/1000)</f>
        <v>0</v>
      </c>
      <c r="J5" s="2"/>
    </row>
    <row r="6" spans="1:10" ht="20.100000000000001" customHeight="1" x14ac:dyDescent="0.25">
      <c r="A6" s="22">
        <v>2024</v>
      </c>
      <c r="B6" s="2" t="s">
        <v>123</v>
      </c>
      <c r="C6" s="2" t="s">
        <v>124</v>
      </c>
      <c r="D6" s="2" t="s">
        <v>125</v>
      </c>
      <c r="E6" s="2" t="s">
        <v>126</v>
      </c>
      <c r="F6" s="2">
        <v>0</v>
      </c>
      <c r="G6" s="30" t="s">
        <v>127</v>
      </c>
      <c r="H6" s="16">
        <v>8.2229999999999998E-2</v>
      </c>
      <c r="I6" s="33">
        <f t="shared" ref="I6:I9" si="0">IF(F6=0,0,F6*IF(LOWER(G6)="km",1,IF(OR(LOWER(G6)="mil",LOWER(G6)="mile",LOWER(G6)="miles"),1.60934,IF(LOWER(G6)="m",0.001,1)))*H6/1000)</f>
        <v>0</v>
      </c>
      <c r="J6" s="2"/>
    </row>
    <row r="7" spans="1:10" ht="20.100000000000001" customHeight="1" x14ac:dyDescent="0.25">
      <c r="A7" s="22">
        <v>2024</v>
      </c>
      <c r="B7" s="2" t="s">
        <v>128</v>
      </c>
      <c r="C7" s="2" t="s">
        <v>124</v>
      </c>
      <c r="D7" s="2" t="s">
        <v>129</v>
      </c>
      <c r="E7" s="2" t="s">
        <v>130</v>
      </c>
      <c r="F7" s="2">
        <v>0</v>
      </c>
      <c r="G7" s="30" t="s">
        <v>127</v>
      </c>
      <c r="H7" s="17">
        <v>0.14843999999999999</v>
      </c>
      <c r="I7" s="33">
        <f t="shared" si="0"/>
        <v>0</v>
      </c>
      <c r="J7" s="2"/>
    </row>
    <row r="8" spans="1:10" ht="20.100000000000001" customHeight="1" x14ac:dyDescent="0.25">
      <c r="A8" s="22">
        <v>2025</v>
      </c>
      <c r="B8" s="2" t="s">
        <v>123</v>
      </c>
      <c r="C8" s="2" t="s">
        <v>124</v>
      </c>
      <c r="D8" s="2" t="s">
        <v>125</v>
      </c>
      <c r="E8" s="2" t="s">
        <v>126</v>
      </c>
      <c r="F8" s="2">
        <v>0</v>
      </c>
      <c r="G8" s="30" t="s">
        <v>127</v>
      </c>
      <c r="H8" s="16">
        <v>8.2229999999999998E-2</v>
      </c>
      <c r="I8" s="33">
        <f t="shared" si="0"/>
        <v>0</v>
      </c>
      <c r="J8" s="2"/>
    </row>
    <row r="9" spans="1:10" ht="20.100000000000001" customHeight="1" x14ac:dyDescent="0.25">
      <c r="A9" s="22">
        <v>2025</v>
      </c>
      <c r="B9" s="2" t="s">
        <v>128</v>
      </c>
      <c r="C9" s="2" t="s">
        <v>124</v>
      </c>
      <c r="D9" s="2" t="s">
        <v>129</v>
      </c>
      <c r="E9" s="2" t="s">
        <v>130</v>
      </c>
      <c r="F9" s="2">
        <v>0</v>
      </c>
      <c r="G9" s="30" t="s">
        <v>127</v>
      </c>
      <c r="H9" s="17">
        <v>0.14843999999999999</v>
      </c>
      <c r="I9" s="33">
        <f t="shared" si="0"/>
        <v>0</v>
      </c>
      <c r="J9" s="2"/>
    </row>
    <row r="11" spans="1:10" ht="20.100000000000001" customHeight="1" x14ac:dyDescent="0.25">
      <c r="A11" s="41" t="s">
        <v>63</v>
      </c>
      <c r="B11" s="42"/>
      <c r="C11" s="42"/>
      <c r="D11" s="42"/>
      <c r="E11" s="42"/>
      <c r="F11" s="42"/>
      <c r="G11" s="42"/>
      <c r="H11" s="42"/>
      <c r="I11" s="43"/>
      <c r="J11" s="28"/>
    </row>
    <row r="12" spans="1:10" ht="15" customHeight="1" x14ac:dyDescent="0.25">
      <c r="A12" s="39" t="s">
        <v>131</v>
      </c>
      <c r="B12" s="35"/>
      <c r="C12" s="35"/>
      <c r="D12" s="35"/>
      <c r="E12" s="35"/>
      <c r="F12" s="35"/>
      <c r="G12" s="35"/>
      <c r="H12" s="35"/>
      <c r="I12" s="35"/>
    </row>
    <row r="13" spans="1:10" ht="15" customHeight="1" x14ac:dyDescent="0.25">
      <c r="A13" s="39" t="s">
        <v>132</v>
      </c>
      <c r="B13" s="35"/>
      <c r="C13" s="35"/>
      <c r="D13" s="35"/>
      <c r="E13" s="35"/>
      <c r="F13" s="35"/>
      <c r="G13" s="35"/>
      <c r="H13" s="35"/>
      <c r="I13" s="35"/>
    </row>
    <row r="15" spans="1:10" ht="15.95" customHeight="1" x14ac:dyDescent="0.25">
      <c r="A15" s="5"/>
      <c r="B15" s="6" t="s">
        <v>68</v>
      </c>
    </row>
    <row r="16" spans="1:10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showGridLines="0" workbookViewId="0">
      <selection activeCell="A8" sqref="A8"/>
    </sheetView>
  </sheetViews>
  <sheetFormatPr defaultRowHeight="15" x14ac:dyDescent="0.25"/>
  <cols>
    <col min="1" max="1" width="8" customWidth="1"/>
    <col min="2" max="2" width="10" customWidth="1"/>
    <col min="3" max="3" width="24" customWidth="1"/>
    <col min="4" max="4" width="22" customWidth="1"/>
    <col min="5" max="5" width="18" customWidth="1"/>
    <col min="6" max="8" width="14" customWidth="1"/>
    <col min="9" max="9" width="24" customWidth="1"/>
  </cols>
  <sheetData>
    <row r="1" spans="1:10" ht="33.950000000000003" customHeight="1" x14ac:dyDescent="0.25">
      <c r="A1" s="44" t="s">
        <v>133</v>
      </c>
      <c r="B1" s="35"/>
      <c r="C1" s="35"/>
      <c r="D1" s="35"/>
      <c r="E1" s="35"/>
      <c r="F1" s="35"/>
      <c r="G1" s="35"/>
      <c r="H1" s="35"/>
      <c r="I1" s="35"/>
    </row>
    <row r="2" spans="1:10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10" ht="38.1" customHeight="1" x14ac:dyDescent="0.25">
      <c r="A3" s="1" t="s">
        <v>38</v>
      </c>
      <c r="B3" s="1" t="s">
        <v>117</v>
      </c>
      <c r="C3" s="1" t="s">
        <v>39</v>
      </c>
      <c r="D3" s="1" t="s">
        <v>118</v>
      </c>
      <c r="E3" s="1" t="s">
        <v>119</v>
      </c>
      <c r="F3" s="29" t="s">
        <v>120</v>
      </c>
      <c r="G3" s="29" t="s">
        <v>121</v>
      </c>
      <c r="H3" s="1" t="s">
        <v>122</v>
      </c>
      <c r="I3" s="1" t="s">
        <v>110</v>
      </c>
      <c r="J3" s="1" t="s">
        <v>51</v>
      </c>
    </row>
    <row r="4" spans="1:10" ht="20.100000000000001" customHeight="1" x14ac:dyDescent="0.25">
      <c r="A4" s="22">
        <v>2023</v>
      </c>
      <c r="B4" s="2" t="s">
        <v>134</v>
      </c>
      <c r="C4" s="2" t="s">
        <v>135</v>
      </c>
      <c r="D4" s="2" t="s">
        <v>125</v>
      </c>
      <c r="E4" s="2" t="s">
        <v>126</v>
      </c>
      <c r="F4" s="2">
        <v>0</v>
      </c>
      <c r="G4" s="30" t="s">
        <v>127</v>
      </c>
      <c r="H4" s="16">
        <v>8.2229999999999998E-2</v>
      </c>
      <c r="I4" s="33">
        <f>IF(F4=0,0,F4*IF(LOWER(G4)="km",1,IF(OR(LOWER(G4)="mil",LOWER(G4)="mile",LOWER(G4)="miles"),1.60934,IF(LOWER(G4)="m",0.001,1)))*H4/1000)</f>
        <v>0</v>
      </c>
      <c r="J4" s="2"/>
    </row>
    <row r="5" spans="1:10" ht="20.100000000000001" customHeight="1" x14ac:dyDescent="0.25">
      <c r="A5" s="22">
        <v>2023</v>
      </c>
      <c r="B5" s="2" t="s">
        <v>136</v>
      </c>
      <c r="C5" s="2" t="s">
        <v>135</v>
      </c>
      <c r="D5" s="2" t="s">
        <v>129</v>
      </c>
      <c r="E5" s="2" t="s">
        <v>130</v>
      </c>
      <c r="F5" s="2">
        <v>0</v>
      </c>
      <c r="G5" s="30" t="s">
        <v>127</v>
      </c>
      <c r="H5" s="17">
        <v>0.14843999999999999</v>
      </c>
      <c r="I5" s="33">
        <f>IF(F5=0,0,F5*IF(LOWER(G5)="km",1,IF(OR(LOWER(G5)="mil",LOWER(G5)="mile",LOWER(G5)="miles"),1.60934,IF(LOWER(G5)="m",0.001,1)))*H5/1000)</f>
        <v>0</v>
      </c>
      <c r="J5" s="2"/>
    </row>
    <row r="6" spans="1:10" ht="20.100000000000001" customHeight="1" x14ac:dyDescent="0.25">
      <c r="A6" s="22">
        <v>2024</v>
      </c>
      <c r="B6" s="2" t="s">
        <v>134</v>
      </c>
      <c r="C6" s="2" t="s">
        <v>135</v>
      </c>
      <c r="D6" s="2" t="s">
        <v>125</v>
      </c>
      <c r="E6" s="2" t="s">
        <v>126</v>
      </c>
      <c r="F6" s="2">
        <v>0</v>
      </c>
      <c r="G6" s="30" t="s">
        <v>127</v>
      </c>
      <c r="H6" s="16">
        <v>8.2229999999999998E-2</v>
      </c>
      <c r="I6" s="33">
        <f t="shared" ref="I6:I9" si="0">IF(F6=0,0,F6*IF(LOWER(G6)="km",1,IF(OR(LOWER(G6)="mil",LOWER(G6)="mile",LOWER(G6)="miles"),1.60934,IF(LOWER(G6)="m",0.001,1)))*H6/1000)</f>
        <v>0</v>
      </c>
      <c r="J6" s="2"/>
    </row>
    <row r="7" spans="1:10" ht="20.100000000000001" customHeight="1" x14ac:dyDescent="0.25">
      <c r="A7" s="22">
        <v>2024</v>
      </c>
      <c r="B7" s="2" t="s">
        <v>136</v>
      </c>
      <c r="C7" s="2" t="s">
        <v>135</v>
      </c>
      <c r="D7" s="2" t="s">
        <v>129</v>
      </c>
      <c r="E7" s="2" t="s">
        <v>130</v>
      </c>
      <c r="F7" s="2">
        <v>0</v>
      </c>
      <c r="G7" s="30" t="s">
        <v>127</v>
      </c>
      <c r="H7" s="17">
        <v>0.14843999999999999</v>
      </c>
      <c r="I7" s="33">
        <f t="shared" si="0"/>
        <v>0</v>
      </c>
      <c r="J7" s="2"/>
    </row>
    <row r="8" spans="1:10" ht="20.100000000000001" customHeight="1" x14ac:dyDescent="0.25">
      <c r="A8" s="22">
        <v>2025</v>
      </c>
      <c r="B8" s="2" t="s">
        <v>134</v>
      </c>
      <c r="C8" s="2" t="s">
        <v>135</v>
      </c>
      <c r="D8" s="2" t="s">
        <v>125</v>
      </c>
      <c r="E8" s="2" t="s">
        <v>126</v>
      </c>
      <c r="F8" s="2">
        <v>0</v>
      </c>
      <c r="G8" s="30" t="s">
        <v>127</v>
      </c>
      <c r="H8" s="16">
        <v>8.2229999999999998E-2</v>
      </c>
      <c r="I8" s="33">
        <f t="shared" si="0"/>
        <v>0</v>
      </c>
      <c r="J8" s="2"/>
    </row>
    <row r="9" spans="1:10" ht="20.100000000000001" customHeight="1" x14ac:dyDescent="0.25">
      <c r="A9" s="22">
        <v>2025</v>
      </c>
      <c r="B9" s="2" t="s">
        <v>136</v>
      </c>
      <c r="C9" s="2" t="s">
        <v>135</v>
      </c>
      <c r="D9" s="2" t="s">
        <v>129</v>
      </c>
      <c r="E9" s="2" t="s">
        <v>130</v>
      </c>
      <c r="F9" s="2">
        <v>0</v>
      </c>
      <c r="G9" s="30" t="s">
        <v>127</v>
      </c>
      <c r="H9" s="17">
        <v>0.14843999999999999</v>
      </c>
      <c r="I9" s="33">
        <f t="shared" si="0"/>
        <v>0</v>
      </c>
      <c r="J9" s="2"/>
    </row>
    <row r="11" spans="1:10" ht="20.100000000000001" customHeight="1" x14ac:dyDescent="0.25">
      <c r="A11" s="41" t="s">
        <v>63</v>
      </c>
      <c r="B11" s="42"/>
      <c r="C11" s="42"/>
      <c r="D11" s="42"/>
      <c r="E11" s="42"/>
      <c r="F11" s="42"/>
      <c r="G11" s="42"/>
      <c r="H11" s="42"/>
      <c r="I11" s="43"/>
      <c r="J11" s="28"/>
    </row>
    <row r="12" spans="1:10" ht="15" customHeight="1" x14ac:dyDescent="0.25">
      <c r="A12" s="39" t="s">
        <v>137</v>
      </c>
      <c r="B12" s="35"/>
      <c r="C12" s="35"/>
      <c r="D12" s="35"/>
      <c r="E12" s="35"/>
      <c r="F12" s="35"/>
      <c r="G12" s="35"/>
      <c r="H12" s="35"/>
      <c r="I12" s="35"/>
    </row>
    <row r="13" spans="1:10" ht="15" customHeight="1" x14ac:dyDescent="0.25">
      <c r="A13" s="39" t="s">
        <v>132</v>
      </c>
      <c r="B13" s="35"/>
      <c r="C13" s="35"/>
      <c r="D13" s="35"/>
      <c r="E13" s="35"/>
      <c r="F13" s="35"/>
      <c r="G13" s="35"/>
      <c r="H13" s="35"/>
      <c r="I13" s="35"/>
    </row>
    <row r="15" spans="1:10" ht="15.95" customHeight="1" x14ac:dyDescent="0.25">
      <c r="A15" s="5"/>
      <c r="B15" s="6" t="s">
        <v>68</v>
      </c>
    </row>
    <row r="16" spans="1:10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3"/>
  <sheetViews>
    <sheetView showGridLines="0" topLeftCell="A8" workbookViewId="0">
      <selection activeCell="S12" sqref="S12"/>
    </sheetView>
  </sheetViews>
  <sheetFormatPr defaultRowHeight="15" x14ac:dyDescent="0.25"/>
  <cols>
    <col min="1" max="1" width="8" customWidth="1"/>
    <col min="2" max="2" width="10" customWidth="1"/>
    <col min="3" max="3" width="22" customWidth="1"/>
    <col min="4" max="4" width="18" customWidth="1"/>
    <col min="5" max="5" width="14" customWidth="1"/>
    <col min="6" max="6" width="8" customWidth="1"/>
    <col min="7" max="7" width="12" customWidth="1"/>
    <col min="8" max="10" width="14" customWidth="1"/>
    <col min="11" max="12" width="10" customWidth="1"/>
    <col min="13" max="13" width="12" customWidth="1"/>
    <col min="14" max="14" width="14" customWidth="1"/>
    <col min="15" max="15" width="22" customWidth="1"/>
  </cols>
  <sheetData>
    <row r="1" spans="1:15" ht="33.950000000000003" customHeight="1" x14ac:dyDescent="0.25">
      <c r="A1" s="44" t="s">
        <v>138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38.1" customHeight="1" x14ac:dyDescent="0.25">
      <c r="A3" s="1" t="s">
        <v>38</v>
      </c>
      <c r="B3" s="1" t="s">
        <v>117</v>
      </c>
      <c r="C3" s="1" t="s">
        <v>39</v>
      </c>
      <c r="D3" s="1" t="s">
        <v>40</v>
      </c>
      <c r="E3" s="1" t="s">
        <v>41</v>
      </c>
      <c r="F3" s="29" t="s">
        <v>42</v>
      </c>
      <c r="G3" s="1" t="s">
        <v>139</v>
      </c>
      <c r="H3" s="1" t="s">
        <v>140</v>
      </c>
      <c r="I3" s="1" t="s">
        <v>141</v>
      </c>
      <c r="J3" s="1" t="s">
        <v>142</v>
      </c>
      <c r="K3" s="1" t="s">
        <v>143</v>
      </c>
      <c r="L3" s="1" t="s">
        <v>144</v>
      </c>
      <c r="M3" s="1" t="s">
        <v>145</v>
      </c>
      <c r="N3" s="1" t="s">
        <v>110</v>
      </c>
      <c r="O3" s="1" t="s">
        <v>51</v>
      </c>
    </row>
    <row r="4" spans="1:15" ht="20.100000000000001" customHeight="1" x14ac:dyDescent="0.25">
      <c r="A4" s="22">
        <v>2023</v>
      </c>
      <c r="B4" s="2" t="s">
        <v>146</v>
      </c>
      <c r="C4" s="2" t="s">
        <v>147</v>
      </c>
      <c r="D4" s="2" t="s">
        <v>62</v>
      </c>
      <c r="E4" s="2">
        <v>4688.01</v>
      </c>
      <c r="F4" s="30" t="s">
        <v>58</v>
      </c>
      <c r="G4" s="4">
        <v>44.3</v>
      </c>
      <c r="H4" s="4">
        <v>69.3</v>
      </c>
      <c r="I4" s="4">
        <v>2.5000000000000001E-2</v>
      </c>
      <c r="J4" s="4">
        <v>8.0000000000000002E-3</v>
      </c>
      <c r="K4" s="4">
        <v>29.8</v>
      </c>
      <c r="L4" s="4">
        <v>273</v>
      </c>
      <c r="M4" s="4">
        <v>7.7499999999999997E-4</v>
      </c>
      <c r="N4" s="33">
        <f>IF(OR(E4=0,G4=0),0,((E4*IF(OR(LOWER(F4)="m³",LOWER(F4)="m3",LOWER(F4)="l",LOWER(F4)="lt"),M4,IF(OR(LOWER(F4)="kg"),0.001,IF(OR(LOWER(F4)="ton",LOWER(F4)="tonne"),1,M4)))/1000)*G4)*H4+((E4*IF(OR(LOWER(F4)="m³",LOWER(F4)="m3",LOWER(F4)="l",LOWER(F4)="lt"),M4,IF(OR(LOWER(F4)="kg"),0.001,IF(OR(LOWER(F4)="ton",LOWER(F4)="tonne"),1,M4)))/1000)*G4)*I4*K4+((E4*IF(OR(LOWER(F4)="m³",LOWER(F4)="m3",LOWER(F4)="l",LOWER(F4)="lt"),M4,IF(OR(LOWER(F4)="kg"),0.001,IF(OR(LOWER(F4)="ton",LOWER(F4)="tonne"),1,M4)))/1000)*G4)*J4*L4)</f>
        <v>11.625337242061425</v>
      </c>
      <c r="O4" s="2"/>
    </row>
    <row r="5" spans="1:15" ht="20.100000000000001" customHeight="1" x14ac:dyDescent="0.25">
      <c r="A5" s="22">
        <v>2023</v>
      </c>
      <c r="B5" s="2" t="s">
        <v>148</v>
      </c>
      <c r="C5" s="2" t="s">
        <v>147</v>
      </c>
      <c r="D5" s="2" t="s">
        <v>57</v>
      </c>
      <c r="E5" s="2">
        <v>4673.6899999999996</v>
      </c>
      <c r="F5" s="30" t="s">
        <v>58</v>
      </c>
      <c r="G5" s="4">
        <v>43</v>
      </c>
      <c r="H5" s="4">
        <v>74.099999999999994</v>
      </c>
      <c r="I5" s="4">
        <v>2.5000000000000001E-2</v>
      </c>
      <c r="J5" s="4">
        <v>4.0000000000000001E-3</v>
      </c>
      <c r="K5" s="4">
        <v>29.8</v>
      </c>
      <c r="L5" s="4">
        <v>273</v>
      </c>
      <c r="M5" s="4">
        <v>8.4500000000000005E-4</v>
      </c>
      <c r="N5" s="33">
        <f>IF(OR(E5=0,G5=0),0,((E5*IF(OR(LOWER(F5)="m³",LOWER(F5)="m3",LOWER(F5)="l",LOWER(F5)="lt"),M5,IF(OR(LOWER(F5)="kg"),0.001,IF(OR(LOWER(F5)="ton",LOWER(F5)="tonne"),1,M5)))/1000)*G5)*H5+((E5*IF(OR(LOWER(F5)="m³",LOWER(F5)="m3",LOWER(F5)="l",LOWER(F5)="lt"),M5,IF(OR(LOWER(F5)="kg"),0.001,IF(OR(LOWER(F5)="ton",LOWER(F5)="tonne"),1,M5)))/1000)*G5)*I5*K5+((E5*IF(OR(LOWER(F5)="m³",LOWER(F5)="m3",LOWER(F5)="l",LOWER(F5)="lt"),M5,IF(OR(LOWER(F5)="kg"),0.001,IF(OR(LOWER(F5)="ton",LOWER(F5)="tonne"),1,M5)))/1000)*G5)*J5*L5)</f>
        <v>12.895509420252548</v>
      </c>
      <c r="O5" s="2"/>
    </row>
    <row r="6" spans="1:15" ht="20.100000000000001" customHeight="1" x14ac:dyDescent="0.25">
      <c r="A6" s="22">
        <v>2023</v>
      </c>
      <c r="B6" s="2" t="s">
        <v>149</v>
      </c>
      <c r="C6" s="2" t="s">
        <v>150</v>
      </c>
      <c r="D6" s="2" t="s">
        <v>151</v>
      </c>
      <c r="E6" s="2">
        <v>43172.1</v>
      </c>
      <c r="F6" s="30" t="s">
        <v>58</v>
      </c>
      <c r="G6" s="4">
        <v>43</v>
      </c>
      <c r="H6" s="4">
        <v>74.099999999999994</v>
      </c>
      <c r="I6" s="4">
        <v>2.5000000000000001E-2</v>
      </c>
      <c r="J6" s="4">
        <v>4.0000000000000001E-3</v>
      </c>
      <c r="K6" s="4">
        <v>29.8</v>
      </c>
      <c r="L6" s="4">
        <v>273</v>
      </c>
      <c r="M6" s="4">
        <v>8.4500000000000005E-4</v>
      </c>
      <c r="N6" s="33">
        <f>IF(OR(E6=0,G6=0),0,((E6*IF(OR(LOWER(F6)="m³",LOWER(F6)="m3",LOWER(F6)="l",LOWER(F6)="lt"),M6,IF(OR(LOWER(F6)="kg"),0.001,IF(OR(LOWER(F6)="ton",LOWER(F6)="tonne"),1,M6)))/1000)*G6)*H6+((E6*IF(OR(LOWER(F6)="m³",LOWER(F6)="m3",LOWER(F6)="l",LOWER(F6)="lt"),M6,IF(OR(LOWER(F6)="kg"),0.001,IF(OR(LOWER(F6)="ton",LOWER(F6)="tonne"),1,M6)))/1000)*G6)*I6*K6+((E6*IF(OR(LOWER(F6)="m³",LOWER(F6)="m3",LOWER(F6)="l",LOWER(F6)="lt"),M6,IF(OR(LOWER(F6)="kg"),0.001,IF(OR(LOWER(F6)="ton",LOWER(F6)="tonne"),1,M6)))/1000)*G6)*J6*L6)</f>
        <v>119.11920179602947</v>
      </c>
      <c r="O6" s="2"/>
    </row>
    <row r="7" spans="1:15" ht="20.100000000000001" customHeight="1" x14ac:dyDescent="0.25">
      <c r="A7" s="2">
        <v>2023</v>
      </c>
      <c r="B7" s="2" t="s">
        <v>358</v>
      </c>
      <c r="C7" s="70" t="s">
        <v>359</v>
      </c>
      <c r="D7" s="2" t="s">
        <v>360</v>
      </c>
      <c r="E7" s="2">
        <v>8338</v>
      </c>
      <c r="F7" s="4" t="s">
        <v>361</v>
      </c>
      <c r="G7" s="4">
        <v>65</v>
      </c>
      <c r="H7" s="4" t="s">
        <v>362</v>
      </c>
      <c r="I7" s="4">
        <v>9.9999999999999995E-7</v>
      </c>
      <c r="J7" s="4" t="s">
        <v>363</v>
      </c>
      <c r="K7" s="4">
        <v>9</v>
      </c>
      <c r="L7" s="4" t="s">
        <v>364</v>
      </c>
      <c r="M7" s="4">
        <v>0.47899999999999998</v>
      </c>
      <c r="N7" s="33">
        <f>E7*G7*I7*K7*M7</f>
        <v>2.3364326699999998</v>
      </c>
      <c r="O7" s="2"/>
    </row>
    <row r="8" spans="1:15" s="83" customFormat="1" ht="20.100000000000001" customHeight="1" x14ac:dyDescent="0.25">
      <c r="A8" s="73">
        <v>2023</v>
      </c>
      <c r="B8" s="2" t="s">
        <v>365</v>
      </c>
      <c r="C8" s="73" t="s">
        <v>366</v>
      </c>
      <c r="D8" s="73"/>
      <c r="E8" s="73">
        <v>8338</v>
      </c>
      <c r="F8" s="4" t="s">
        <v>361</v>
      </c>
      <c r="G8" s="72">
        <v>1.125</v>
      </c>
      <c r="H8" s="72" t="s">
        <v>364</v>
      </c>
      <c r="I8" s="72">
        <v>9</v>
      </c>
      <c r="J8" s="81" t="s">
        <v>367</v>
      </c>
      <c r="K8" s="72">
        <v>2.9999999999999997E-4</v>
      </c>
      <c r="L8" s="72"/>
      <c r="M8" s="72"/>
      <c r="N8" s="33">
        <f>E8*G8*I8*K8</f>
        <v>25.326674999999998</v>
      </c>
      <c r="O8" s="73"/>
    </row>
    <row r="9" spans="1:15" s="83" customFormat="1" ht="20.100000000000001" customHeight="1" x14ac:dyDescent="0.25">
      <c r="A9" s="73"/>
      <c r="B9" s="73"/>
      <c r="C9" s="73"/>
      <c r="D9" s="73"/>
      <c r="E9" s="73"/>
      <c r="F9" s="72"/>
      <c r="G9" s="72"/>
      <c r="H9" s="72"/>
      <c r="I9" s="72"/>
      <c r="J9" s="72"/>
      <c r="K9" s="72"/>
      <c r="L9" s="72"/>
      <c r="M9" s="72"/>
      <c r="N9" s="71"/>
      <c r="O9" s="73"/>
    </row>
    <row r="10" spans="1:15" ht="20.100000000000001" customHeight="1" x14ac:dyDescent="0.25">
      <c r="A10" s="22">
        <v>2024</v>
      </c>
      <c r="B10" s="2" t="s">
        <v>146</v>
      </c>
      <c r="C10" s="2" t="s">
        <v>147</v>
      </c>
      <c r="D10" s="2" t="s">
        <v>62</v>
      </c>
      <c r="E10" s="2">
        <v>12057.44</v>
      </c>
      <c r="F10" s="30" t="s">
        <v>58</v>
      </c>
      <c r="G10" s="4">
        <v>44.3</v>
      </c>
      <c r="H10" s="4">
        <v>69.3</v>
      </c>
      <c r="I10" s="4">
        <v>2.5000000000000001E-2</v>
      </c>
      <c r="J10" s="4">
        <v>8.0000000000000002E-3</v>
      </c>
      <c r="K10" s="4">
        <v>29.8</v>
      </c>
      <c r="L10" s="4">
        <v>273</v>
      </c>
      <c r="M10" s="4">
        <v>7.7499999999999997E-4</v>
      </c>
      <c r="N10" s="33">
        <f>IF(OR(E10=0,G10=0),0,((E10*IF(OR(LOWER(F10)="m³",LOWER(F10)="m3",LOWER(F10)="l",LOWER(F10)="lt"),M10,IF(OR(LOWER(F10)="kg"),0.001,IF(OR(LOWER(F10)="ton",LOWER(F10)="tonne"),1,M10)))/1000)*G10)*H10+((E10*IF(OR(LOWER(F10)="m³",LOWER(F10)="m3",LOWER(F10)="l",LOWER(F10)="lt"),M10,IF(OR(LOWER(F10)="kg"),0.001,IF(OR(LOWER(F10)="ton",LOWER(F10)="tonne"),1,M10)))/1000)*G10)*I10*K10+((E10*IF(OR(LOWER(F10)="m³",LOWER(F10)="m3",LOWER(F10)="l",LOWER(F10)="lt"),M10,IF(OR(LOWER(F10)="kg"),0.001,IF(OR(LOWER(F10)="ton",LOWER(F10)="tonne"),1,M10)))/1000)*G10)*J10*L10)</f>
        <v>29.900065545065196</v>
      </c>
      <c r="O10" s="2"/>
    </row>
    <row r="11" spans="1:15" ht="20.100000000000001" customHeight="1" x14ac:dyDescent="0.25">
      <c r="A11" s="22">
        <v>2024</v>
      </c>
      <c r="B11" s="2" t="s">
        <v>148</v>
      </c>
      <c r="C11" s="2" t="s">
        <v>147</v>
      </c>
      <c r="D11" s="2" t="s">
        <v>57</v>
      </c>
      <c r="E11" s="2">
        <v>9189.32</v>
      </c>
      <c r="F11" s="30" t="s">
        <v>58</v>
      </c>
      <c r="G11" s="4">
        <v>43</v>
      </c>
      <c r="H11" s="4">
        <v>74.099999999999994</v>
      </c>
      <c r="I11" s="4">
        <v>2.5000000000000001E-2</v>
      </c>
      <c r="J11" s="4">
        <v>4.0000000000000001E-3</v>
      </c>
      <c r="K11" s="4">
        <v>29.8</v>
      </c>
      <c r="L11" s="4">
        <v>273</v>
      </c>
      <c r="M11" s="4">
        <v>8.4500000000000005E-4</v>
      </c>
      <c r="N11" s="33">
        <f>IF(OR(E11=0,G11=0),0,((E11*IF(OR(LOWER(F11)="m³",LOWER(F11)="m3",LOWER(F11)="l",LOWER(F11)="lt"),M11,IF(OR(LOWER(F11)="kg"),0.001,IF(OR(LOWER(F11)="ton",LOWER(F11)="tonne"),1,M11)))/1000)*G11)*H11+((E11*IF(OR(LOWER(F11)="m³",LOWER(F11)="m3",LOWER(F11)="l",LOWER(F11)="lt"),M11,IF(OR(LOWER(F11)="kg"),0.001,IF(OR(LOWER(F11)="ton",LOWER(F11)="tonne"),1,M11)))/1000)*G11)*I11*K11+((E11*IF(OR(LOWER(F11)="m³",LOWER(F11)="m3",LOWER(F11)="l",LOWER(F11)="lt"),M11,IF(OR(LOWER(F11)="kg"),0.001,IF(OR(LOWER(F11)="ton",LOWER(F11)="tonne"),1,M11)))/1000)*G11)*J11*L11)</f>
        <v>25.354904288841396</v>
      </c>
      <c r="O11" s="2"/>
    </row>
    <row r="12" spans="1:15" ht="20.100000000000001" customHeight="1" x14ac:dyDescent="0.25">
      <c r="A12" s="22">
        <v>2024</v>
      </c>
      <c r="B12" s="2" t="s">
        <v>149</v>
      </c>
      <c r="C12" s="2" t="s">
        <v>150</v>
      </c>
      <c r="D12" s="2" t="s">
        <v>151</v>
      </c>
      <c r="E12" s="2">
        <v>43938.1</v>
      </c>
      <c r="F12" s="30" t="s">
        <v>58</v>
      </c>
      <c r="G12" s="4">
        <v>43</v>
      </c>
      <c r="H12" s="4">
        <v>74.099999999999994</v>
      </c>
      <c r="I12" s="4">
        <v>2.5000000000000001E-2</v>
      </c>
      <c r="J12" s="4">
        <v>4.0000000000000001E-3</v>
      </c>
      <c r="K12" s="4">
        <v>29.8</v>
      </c>
      <c r="L12" s="4">
        <v>273</v>
      </c>
      <c r="M12" s="4">
        <v>8.4500000000000005E-4</v>
      </c>
      <c r="N12" s="33">
        <f>IF(OR(E12=0,G12=0),0,((E12*IF(OR(LOWER(F12)="m³",LOWER(F12)="m3",LOWER(F12)="l",LOWER(F12)="lt"),M12,IF(OR(LOWER(F12)="kg"),0.001,IF(OR(LOWER(F12)="ton",LOWER(F12)="tonne"),1,M12)))/1000)*G12)*H12+((E12*IF(OR(LOWER(F12)="m³",LOWER(F12)="m3",LOWER(F12)="l",LOWER(F12)="lt"),M12,IF(OR(LOWER(F12)="kg"),0.001,IF(OR(LOWER(F12)="ton",LOWER(F12)="tonne"),1,M12)))/1000)*G12)*I12*K12+((E12*IF(OR(LOWER(F12)="m³",LOWER(F12)="m3",LOWER(F12)="l",LOWER(F12)="lt"),M12,IF(OR(LOWER(F12)="kg"),0.001,IF(OR(LOWER(F12)="ton",LOWER(F12)="tonne"),1,M12)))/1000)*G12)*J12*L12)</f>
        <v>121.23272670159949</v>
      </c>
      <c r="O12" s="2"/>
    </row>
    <row r="13" spans="1:15" ht="51" x14ac:dyDescent="0.25">
      <c r="A13" s="2">
        <v>2024</v>
      </c>
      <c r="B13" s="2" t="s">
        <v>358</v>
      </c>
      <c r="C13" s="70" t="s">
        <v>359</v>
      </c>
      <c r="D13" s="2" t="s">
        <v>360</v>
      </c>
      <c r="E13" s="2">
        <v>10198</v>
      </c>
      <c r="F13" s="4" t="s">
        <v>361</v>
      </c>
      <c r="G13" s="4">
        <v>65</v>
      </c>
      <c r="H13" s="4" t="s">
        <v>362</v>
      </c>
      <c r="I13" s="4">
        <v>9.9999999999999995E-7</v>
      </c>
      <c r="J13" s="4" t="s">
        <v>363</v>
      </c>
      <c r="K13" s="4">
        <v>9</v>
      </c>
      <c r="L13" s="4" t="s">
        <v>364</v>
      </c>
      <c r="M13" s="4">
        <v>0.47899999999999998</v>
      </c>
      <c r="N13" s="33">
        <f>E13*G13*I13*K13*M13</f>
        <v>2.8576325699999998</v>
      </c>
      <c r="O13" s="2"/>
    </row>
    <row r="14" spans="1:15" s="83" customFormat="1" ht="38.25" x14ac:dyDescent="0.25">
      <c r="A14" s="73">
        <v>2024</v>
      </c>
      <c r="B14" s="2" t="s">
        <v>365</v>
      </c>
      <c r="C14" s="73" t="s">
        <v>366</v>
      </c>
      <c r="D14" s="73"/>
      <c r="E14" s="73">
        <v>10198</v>
      </c>
      <c r="F14" s="4" t="s">
        <v>361</v>
      </c>
      <c r="G14" s="72">
        <v>1.125</v>
      </c>
      <c r="H14" s="72" t="s">
        <v>364</v>
      </c>
      <c r="I14" s="72">
        <v>9</v>
      </c>
      <c r="J14" s="81" t="s">
        <v>367</v>
      </c>
      <c r="K14" s="72">
        <v>2.9999999999999997E-4</v>
      </c>
      <c r="L14" s="72"/>
      <c r="M14" s="72"/>
      <c r="N14" s="33">
        <f>E14*G14*I14*K14</f>
        <v>30.976424999999999</v>
      </c>
      <c r="O14" s="73"/>
    </row>
    <row r="15" spans="1:15" s="83" customFormat="1" x14ac:dyDescent="0.25">
      <c r="A15" s="73"/>
      <c r="B15" s="73"/>
      <c r="C15" s="73"/>
      <c r="D15" s="73"/>
      <c r="E15" s="73"/>
      <c r="F15" s="72"/>
      <c r="G15" s="72"/>
      <c r="H15" s="72"/>
      <c r="I15" s="72"/>
      <c r="J15" s="72"/>
      <c r="K15" s="72"/>
      <c r="L15" s="72"/>
      <c r="M15" s="72"/>
      <c r="N15" s="71"/>
      <c r="O15" s="73"/>
    </row>
    <row r="16" spans="1:15" ht="20.100000000000001" customHeight="1" x14ac:dyDescent="0.25">
      <c r="A16" s="22">
        <v>2025</v>
      </c>
      <c r="B16" s="2" t="s">
        <v>146</v>
      </c>
      <c r="C16" s="2" t="s">
        <v>147</v>
      </c>
      <c r="D16" s="2" t="s">
        <v>62</v>
      </c>
      <c r="E16" s="2">
        <v>8910.9699999999993</v>
      </c>
      <c r="F16" s="30" t="s">
        <v>58</v>
      </c>
      <c r="G16" s="4">
        <v>44.3</v>
      </c>
      <c r="H16" s="4">
        <v>69.3</v>
      </c>
      <c r="I16" s="4">
        <v>2.5000000000000001E-2</v>
      </c>
      <c r="J16" s="4">
        <v>8.0000000000000002E-3</v>
      </c>
      <c r="K16" s="4">
        <v>29.8</v>
      </c>
      <c r="L16" s="4">
        <v>273</v>
      </c>
      <c r="M16" s="4">
        <v>7.7499999999999997E-4</v>
      </c>
      <c r="N16" s="33">
        <f>IF(OR(E16=0,G16=0),0,((E16*IF(OR(LOWER(F16)="m³",LOWER(F16)="m3",LOWER(F16)="l",LOWER(F16)="lt"),M16,IF(OR(LOWER(F16)="kg"),0.001,IF(OR(LOWER(F16)="ton",LOWER(F16)="tonne"),1,M16)))/1000)*G16)*H16+((E16*IF(OR(LOWER(F16)="m³",LOWER(F16)="m3",LOWER(F16)="l",LOWER(F16)="lt"),M16,IF(OR(LOWER(F16)="kg"),0.001,IF(OR(LOWER(F16)="ton",LOWER(F16)="tonne"),1,M16)))/1000)*G16)*I16*K16+((E16*IF(OR(LOWER(F16)="m³",LOWER(F16)="m3",LOWER(F16)="l",LOWER(F16)="lt"),M16,IF(OR(LOWER(F16)="kg"),0.001,IF(OR(LOWER(F16)="ton",LOWER(F16)="tonne"),1,M16)))/1000)*G16)*J16*L16)</f>
        <v>22.097442497753221</v>
      </c>
      <c r="O16" s="2"/>
    </row>
    <row r="17" spans="1:15" ht="15" customHeight="1" x14ac:dyDescent="0.25">
      <c r="A17" s="22">
        <v>2025</v>
      </c>
      <c r="B17" s="2" t="s">
        <v>148</v>
      </c>
      <c r="C17" s="2" t="s">
        <v>147</v>
      </c>
      <c r="D17" s="2" t="s">
        <v>57</v>
      </c>
      <c r="E17" s="2">
        <v>2919.24</v>
      </c>
      <c r="F17" s="30" t="s">
        <v>58</v>
      </c>
      <c r="G17" s="4">
        <v>43</v>
      </c>
      <c r="H17" s="4">
        <v>74.099999999999994</v>
      </c>
      <c r="I17" s="4">
        <v>2.5000000000000001E-2</v>
      </c>
      <c r="J17" s="4">
        <v>4.0000000000000001E-3</v>
      </c>
      <c r="K17" s="4">
        <v>29.8</v>
      </c>
      <c r="L17" s="4">
        <v>273</v>
      </c>
      <c r="M17" s="4">
        <v>8.4500000000000005E-4</v>
      </c>
      <c r="N17" s="33">
        <f>IF(OR(E17=0,G17=0),0,((E17*IF(OR(LOWER(F17)="m³",LOWER(F17)="m3",LOWER(F17)="l",LOWER(F17)="lt"),M17,IF(OR(LOWER(F17)="kg"),0.001,IF(OR(LOWER(F17)="ton",LOWER(F17)="tonne"),1,M17)))/1000)*G17)*H17+((E17*IF(OR(LOWER(F17)="m³",LOWER(F17)="m3",LOWER(F17)="l",LOWER(F17)="lt"),M17,IF(OR(LOWER(F17)="kg"),0.001,IF(OR(LOWER(F17)="ton",LOWER(F17)="tonne"),1,M17)))/1000)*G17)*I17*K17+((E17*IF(OR(LOWER(F17)="m³",LOWER(F17)="m3",LOWER(F17)="l",LOWER(F17)="lt"),M17,IF(OR(LOWER(F17)="kg"),0.001,IF(OR(LOWER(F17)="ton",LOWER(F17)="tonne"),1,M17)))/1000)*G17)*J17*L17)</f>
        <v>8.054682043519799</v>
      </c>
      <c r="O17" s="2"/>
    </row>
    <row r="18" spans="1:15" ht="15" customHeight="1" x14ac:dyDescent="0.25">
      <c r="A18" s="22">
        <v>2025</v>
      </c>
      <c r="B18" s="2" t="s">
        <v>149</v>
      </c>
      <c r="C18" s="2" t="s">
        <v>150</v>
      </c>
      <c r="D18" s="2" t="s">
        <v>151</v>
      </c>
      <c r="E18" s="2">
        <v>44138.1</v>
      </c>
      <c r="F18" s="30" t="s">
        <v>58</v>
      </c>
      <c r="G18" s="4">
        <v>43</v>
      </c>
      <c r="H18" s="4">
        <v>74.099999999999994</v>
      </c>
      <c r="I18" s="4">
        <v>2.5000000000000001E-2</v>
      </c>
      <c r="J18" s="4">
        <v>4.0000000000000001E-3</v>
      </c>
      <c r="K18" s="4">
        <v>29.8</v>
      </c>
      <c r="L18" s="4">
        <v>273</v>
      </c>
      <c r="M18" s="4">
        <v>8.4500000000000005E-4</v>
      </c>
      <c r="N18" s="33">
        <f>IF(OR(E18=0,G18=0),0,((E18*IF(OR(LOWER(F18)="m³",LOWER(F18)="m3",LOWER(F18)="l",LOWER(F18)="lt"),M18,IF(OR(LOWER(F18)="kg"),0.001,IF(OR(LOWER(F18)="ton",LOWER(F18)="tonne"),1,M18)))/1000)*G18)*H18+((E18*IF(OR(LOWER(F18)="m³",LOWER(F18)="m3",LOWER(F18)="l",LOWER(F18)="lt"),M18,IF(OR(LOWER(F18)="kg"),0.001,IF(OR(LOWER(F18)="ton",LOWER(F18)="tonne"),1,M18)))/1000)*G18)*I18*K18+((E18*IF(OR(LOWER(F18)="m³",LOWER(F18)="m3",LOWER(F18)="l",LOWER(F18)="lt"),M18,IF(OR(LOWER(F18)="kg"),0.001,IF(OR(LOWER(F18)="ton",LOWER(F18)="tonne"),1,M18)))/1000)*G18)*J18*L18)</f>
        <v>121.78456088059949</v>
      </c>
      <c r="O18" s="2"/>
    </row>
    <row r="19" spans="1:15" ht="51" x14ac:dyDescent="0.25">
      <c r="A19" s="2">
        <v>2025</v>
      </c>
      <c r="B19" s="2" t="s">
        <v>358</v>
      </c>
      <c r="C19" s="70" t="s">
        <v>359</v>
      </c>
      <c r="D19" s="2" t="s">
        <v>360</v>
      </c>
      <c r="E19" s="2">
        <v>10177</v>
      </c>
      <c r="F19" s="4" t="s">
        <v>361</v>
      </c>
      <c r="G19" s="4">
        <v>65</v>
      </c>
      <c r="H19" s="4" t="s">
        <v>362</v>
      </c>
      <c r="I19" s="4">
        <v>9.9999999999999995E-7</v>
      </c>
      <c r="J19" s="4" t="s">
        <v>363</v>
      </c>
      <c r="K19" s="4">
        <v>9</v>
      </c>
      <c r="L19" s="4" t="s">
        <v>364</v>
      </c>
      <c r="M19" s="4">
        <v>0.47899999999999998</v>
      </c>
      <c r="N19" s="33">
        <f>E19*G19*I19*K19*M19</f>
        <v>2.8517480549999998</v>
      </c>
      <c r="O19" s="2"/>
    </row>
    <row r="20" spans="1:15" ht="15.95" customHeight="1" x14ac:dyDescent="0.25">
      <c r="A20" s="73">
        <v>2025</v>
      </c>
      <c r="B20" s="2" t="s">
        <v>365</v>
      </c>
      <c r="C20" s="73" t="s">
        <v>366</v>
      </c>
      <c r="D20" s="73"/>
      <c r="E20" s="73">
        <v>10177</v>
      </c>
      <c r="F20" s="4" t="s">
        <v>361</v>
      </c>
      <c r="G20" s="72">
        <v>1.125</v>
      </c>
      <c r="H20" s="72" t="s">
        <v>364</v>
      </c>
      <c r="I20" s="72">
        <v>9</v>
      </c>
      <c r="J20" s="81" t="s">
        <v>367</v>
      </c>
      <c r="K20" s="72">
        <v>2.9999999999999997E-4</v>
      </c>
      <c r="L20" s="72"/>
      <c r="M20" s="72"/>
      <c r="N20" s="33">
        <f>E20*G20*I20*K20</f>
        <v>30.912637499999999</v>
      </c>
      <c r="O20" s="2"/>
    </row>
    <row r="21" spans="1:15" ht="15.95" customHeight="1" x14ac:dyDescent="0.25">
      <c r="A21" s="2"/>
      <c r="B21" s="2"/>
      <c r="C21" s="2"/>
      <c r="D21" s="2"/>
      <c r="E21" s="2"/>
      <c r="F21" s="4"/>
      <c r="G21" s="4"/>
      <c r="H21" s="4"/>
      <c r="I21" s="4"/>
      <c r="J21" s="4"/>
      <c r="K21" s="4"/>
      <c r="L21" s="4"/>
      <c r="M21" s="4"/>
      <c r="N21" s="3"/>
      <c r="O21" s="2"/>
    </row>
    <row r="22" spans="1:15" ht="15.95" customHeight="1" x14ac:dyDescent="0.25">
      <c r="A22" s="2"/>
      <c r="B22" s="2"/>
      <c r="C22" s="2"/>
      <c r="D22" s="2"/>
      <c r="E22" s="2"/>
      <c r="F22" s="4"/>
      <c r="G22" s="4"/>
      <c r="H22" s="4"/>
      <c r="I22" s="4"/>
      <c r="J22" s="4"/>
      <c r="K22" s="4"/>
      <c r="L22" s="4"/>
      <c r="M22" s="4"/>
      <c r="N22" s="3"/>
      <c r="O22" s="2"/>
    </row>
    <row r="23" spans="1:15" ht="15.95" customHeight="1" x14ac:dyDescent="0.25">
      <c r="A23" s="2"/>
      <c r="B23" s="2"/>
      <c r="C23" s="2"/>
      <c r="D23" s="2"/>
      <c r="E23" s="2"/>
      <c r="F23" s="4"/>
      <c r="G23" s="4"/>
      <c r="H23" s="4"/>
      <c r="I23" s="4"/>
      <c r="J23" s="4"/>
      <c r="K23" s="4"/>
      <c r="L23" s="4"/>
      <c r="M23" s="4"/>
      <c r="N23" s="3"/>
      <c r="O23" s="2"/>
    </row>
    <row r="24" spans="1:15" x14ac:dyDescent="0.25">
      <c r="A24" s="2"/>
      <c r="B24" s="2"/>
      <c r="C24" s="2"/>
      <c r="D24" s="2"/>
      <c r="E24" s="2"/>
      <c r="F24" s="4"/>
      <c r="G24" s="4"/>
      <c r="H24" s="4"/>
      <c r="I24" s="4"/>
      <c r="J24" s="4"/>
      <c r="K24" s="4"/>
      <c r="L24" s="4"/>
      <c r="M24" s="4"/>
      <c r="N24" s="3"/>
      <c r="O24" s="2"/>
    </row>
    <row r="25" spans="1:15" x14ac:dyDescent="0.25">
      <c r="A25" s="2"/>
      <c r="B25" s="2"/>
      <c r="C25" s="2"/>
      <c r="D25" s="2"/>
      <c r="E25" s="2"/>
      <c r="F25" s="4"/>
      <c r="G25" s="4"/>
      <c r="H25" s="4"/>
      <c r="I25" s="4"/>
      <c r="J25" s="4"/>
      <c r="K25" s="4"/>
      <c r="L25" s="4"/>
      <c r="M25" s="4"/>
      <c r="N25" s="3"/>
      <c r="O25" s="2"/>
    </row>
    <row r="26" spans="1:15" x14ac:dyDescent="0.25">
      <c r="A26" s="2"/>
      <c r="B26" s="2"/>
      <c r="C26" s="2"/>
      <c r="D26" s="2"/>
      <c r="E26" s="2"/>
      <c r="F26" s="4"/>
      <c r="G26" s="4"/>
      <c r="H26" s="4"/>
      <c r="I26" s="4"/>
      <c r="J26" s="4"/>
      <c r="K26" s="4"/>
      <c r="L26" s="4"/>
      <c r="M26" s="4"/>
      <c r="N26" s="3"/>
      <c r="O26" s="2"/>
    </row>
    <row r="27" spans="1:15" x14ac:dyDescent="0.25">
      <c r="A27" s="2"/>
      <c r="B27" s="2"/>
      <c r="C27" s="2"/>
      <c r="D27" s="2"/>
      <c r="E27" s="2"/>
      <c r="F27" s="4"/>
      <c r="G27" s="4"/>
      <c r="H27" s="4"/>
      <c r="I27" s="4"/>
      <c r="J27" s="4"/>
      <c r="K27" s="4"/>
      <c r="L27" s="4"/>
      <c r="M27" s="4"/>
      <c r="N27" s="3"/>
      <c r="O27" s="2"/>
    </row>
    <row r="28" spans="1:15" x14ac:dyDescent="0.25">
      <c r="A28" s="2"/>
      <c r="B28" s="2"/>
      <c r="C28" s="2"/>
      <c r="D28" s="2"/>
      <c r="E28" s="2"/>
      <c r="F28" s="4"/>
      <c r="G28" s="4"/>
      <c r="H28" s="4"/>
      <c r="I28" s="4"/>
      <c r="J28" s="4"/>
      <c r="K28" s="4"/>
      <c r="L28" s="4"/>
      <c r="M28" s="4"/>
      <c r="N28" s="3"/>
      <c r="O28" s="2"/>
    </row>
    <row r="29" spans="1:15" x14ac:dyDescent="0.25">
      <c r="A29" s="2"/>
      <c r="B29" s="2"/>
      <c r="C29" s="2"/>
      <c r="D29" s="2"/>
      <c r="E29" s="2"/>
      <c r="F29" s="4"/>
      <c r="G29" s="4"/>
      <c r="H29" s="4"/>
      <c r="I29" s="4"/>
      <c r="J29" s="4"/>
      <c r="K29" s="4"/>
      <c r="L29" s="4"/>
      <c r="M29" s="4"/>
      <c r="N29" s="3"/>
      <c r="O29" s="2"/>
    </row>
    <row r="30" spans="1:15" x14ac:dyDescent="0.25">
      <c r="A30" s="2"/>
      <c r="B30" s="2"/>
      <c r="C30" s="2"/>
      <c r="D30" s="2"/>
      <c r="E30" s="2"/>
      <c r="F30" s="4"/>
      <c r="G30" s="4"/>
      <c r="H30" s="4"/>
      <c r="I30" s="4"/>
      <c r="J30" s="4"/>
      <c r="K30" s="4"/>
      <c r="L30" s="4"/>
      <c r="M30" s="4"/>
      <c r="N30" s="3"/>
      <c r="O30" s="2"/>
    </row>
    <row r="31" spans="1:15" x14ac:dyDescent="0.25">
      <c r="A31" s="2"/>
      <c r="B31" s="2"/>
      <c r="C31" s="2"/>
      <c r="D31" s="2"/>
      <c r="E31" s="2"/>
      <c r="F31" s="4"/>
      <c r="G31" s="4"/>
      <c r="H31" s="4"/>
      <c r="I31" s="4"/>
      <c r="J31" s="4"/>
      <c r="K31" s="4"/>
      <c r="L31" s="4"/>
      <c r="M31" s="4"/>
      <c r="N31" s="3"/>
      <c r="O31" s="2"/>
    </row>
    <row r="32" spans="1:15" x14ac:dyDescent="0.25">
      <c r="A32" s="2"/>
      <c r="B32" s="2"/>
      <c r="C32" s="2"/>
      <c r="D32" s="2"/>
      <c r="E32" s="2"/>
      <c r="F32" s="4"/>
      <c r="G32" s="4"/>
      <c r="H32" s="4"/>
      <c r="I32" s="4"/>
      <c r="J32" s="4"/>
      <c r="K32" s="4"/>
      <c r="L32" s="4"/>
      <c r="M32" s="4"/>
      <c r="N32" s="3"/>
      <c r="O32" s="2"/>
    </row>
    <row r="33" spans="1:15" x14ac:dyDescent="0.25">
      <c r="A33" s="2"/>
      <c r="B33" s="2"/>
      <c r="C33" s="2"/>
      <c r="D33" s="2"/>
      <c r="E33" s="2"/>
      <c r="F33" s="4"/>
      <c r="G33" s="4"/>
      <c r="H33" s="4"/>
      <c r="I33" s="4"/>
      <c r="J33" s="4"/>
      <c r="K33" s="4"/>
      <c r="L33" s="4"/>
      <c r="M33" s="4"/>
      <c r="N33" s="3"/>
      <c r="O33" s="2"/>
    </row>
    <row r="34" spans="1:15" x14ac:dyDescent="0.25">
      <c r="A34" s="2"/>
      <c r="B34" s="2"/>
      <c r="C34" s="2"/>
      <c r="D34" s="2"/>
      <c r="E34" s="2"/>
      <c r="F34" s="4"/>
      <c r="G34" s="4"/>
      <c r="H34" s="4"/>
      <c r="I34" s="4"/>
      <c r="J34" s="4"/>
      <c r="K34" s="4"/>
      <c r="L34" s="4"/>
      <c r="M34" s="4"/>
      <c r="N34" s="3"/>
      <c r="O34" s="2"/>
    </row>
    <row r="36" spans="1:15" x14ac:dyDescent="0.25">
      <c r="A36" s="54" t="s">
        <v>63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6"/>
    </row>
    <row r="37" spans="1:15" x14ac:dyDescent="0.25">
      <c r="A37" s="53" t="s">
        <v>152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 x14ac:dyDescent="0.25">
      <c r="A38" s="39" t="s">
        <v>78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40" spans="1:15" x14ac:dyDescent="0.25">
      <c r="A40" s="5"/>
      <c r="B40" s="6" t="s">
        <v>68</v>
      </c>
    </row>
    <row r="41" spans="1:15" x14ac:dyDescent="0.25">
      <c r="A41" s="7"/>
      <c r="B41" s="8" t="s">
        <v>69</v>
      </c>
    </row>
    <row r="42" spans="1:15" x14ac:dyDescent="0.25">
      <c r="A42" s="9"/>
      <c r="B42" s="10" t="s">
        <v>70</v>
      </c>
    </row>
    <row r="43" spans="1:15" x14ac:dyDescent="0.25">
      <c r="A43" s="11"/>
      <c r="B43" s="12" t="s">
        <v>71</v>
      </c>
    </row>
  </sheetData>
  <mergeCells count="5">
    <mergeCell ref="A36:O36"/>
    <mergeCell ref="A2:O2"/>
    <mergeCell ref="A37:O37"/>
    <mergeCell ref="A38:O38"/>
    <mergeCell ref="A1:O1"/>
  </mergeCells>
  <phoneticPr fontId="3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showGridLines="0" workbookViewId="0">
      <selection activeCell="H19" sqref="H19"/>
    </sheetView>
  </sheetViews>
  <sheetFormatPr defaultRowHeight="15" x14ac:dyDescent="0.25"/>
  <cols>
    <col min="1" max="1" width="8" customWidth="1"/>
    <col min="2" max="2" width="10" customWidth="1"/>
    <col min="3" max="3" width="26" customWidth="1"/>
    <col min="4" max="4" width="22" customWidth="1"/>
    <col min="5" max="5" width="18" customWidth="1"/>
    <col min="6" max="8" width="14" customWidth="1"/>
    <col min="9" max="9" width="24" customWidth="1"/>
  </cols>
  <sheetData>
    <row r="1" spans="1:10" ht="33.950000000000003" customHeight="1" x14ac:dyDescent="0.25">
      <c r="A1" s="44" t="s">
        <v>153</v>
      </c>
      <c r="B1" s="35"/>
      <c r="C1" s="35"/>
      <c r="D1" s="35"/>
      <c r="E1" s="35"/>
      <c r="F1" s="35"/>
      <c r="G1" s="35"/>
      <c r="H1" s="35"/>
      <c r="I1" s="35"/>
    </row>
    <row r="2" spans="1:10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10" ht="38.1" customHeight="1" x14ac:dyDescent="0.25">
      <c r="A3" s="1" t="s">
        <v>38</v>
      </c>
      <c r="B3" s="1" t="s">
        <v>117</v>
      </c>
      <c r="C3" s="1" t="s">
        <v>39</v>
      </c>
      <c r="D3" s="1" t="s">
        <v>118</v>
      </c>
      <c r="E3" s="1" t="s">
        <v>119</v>
      </c>
      <c r="F3" s="29" t="s">
        <v>120</v>
      </c>
      <c r="G3" s="29" t="s">
        <v>121</v>
      </c>
      <c r="H3" s="1" t="s">
        <v>122</v>
      </c>
      <c r="I3" s="1" t="s">
        <v>110</v>
      </c>
      <c r="J3" s="1" t="s">
        <v>51</v>
      </c>
    </row>
    <row r="4" spans="1:10" ht="20.100000000000001" customHeight="1" x14ac:dyDescent="0.25">
      <c r="A4" s="22">
        <v>2023</v>
      </c>
      <c r="B4" s="2" t="s">
        <v>154</v>
      </c>
      <c r="C4" s="2" t="s">
        <v>155</v>
      </c>
      <c r="D4" s="2" t="s">
        <v>129</v>
      </c>
      <c r="E4" s="2" t="s">
        <v>130</v>
      </c>
      <c r="F4" s="2">
        <v>0</v>
      </c>
      <c r="G4" s="30" t="s">
        <v>127</v>
      </c>
      <c r="H4" s="17">
        <v>0.14843999999999999</v>
      </c>
      <c r="I4" s="33">
        <f>IF(F4=0,0,F4*IF(LOWER(G4)="km",1,IF(OR(LOWER(G4)="mil",LOWER(G4)="mile",LOWER(G4)="miles"),1.60934,IF(LOWER(G4)="m",0.001,1)))*H4/1000)</f>
        <v>0</v>
      </c>
      <c r="J4" s="2"/>
    </row>
    <row r="5" spans="1:10" ht="20.100000000000001" customHeight="1" x14ac:dyDescent="0.25">
      <c r="A5" s="22">
        <v>2023</v>
      </c>
      <c r="B5" s="2" t="s">
        <v>156</v>
      </c>
      <c r="C5" s="2" t="s">
        <v>155</v>
      </c>
      <c r="D5" s="2" t="s">
        <v>157</v>
      </c>
      <c r="E5" s="2" t="s">
        <v>130</v>
      </c>
      <c r="F5" s="2">
        <v>0</v>
      </c>
      <c r="G5" s="30" t="s">
        <v>127</v>
      </c>
      <c r="H5" s="17">
        <v>0.14843999999999999</v>
      </c>
      <c r="I5" s="33">
        <f>IF(F5=0,0,F5*IF(LOWER(G5)="km",1,IF(OR(LOWER(G5)="mil",LOWER(G5)="mile",LOWER(G5)="miles"),1.60934,IF(LOWER(G5)="m",0.001,1)))*H5/1000)</f>
        <v>0</v>
      </c>
      <c r="J5" s="2"/>
    </row>
    <row r="6" spans="1:10" ht="20.100000000000001" customHeight="1" x14ac:dyDescent="0.25">
      <c r="A6" s="2"/>
      <c r="B6" s="2"/>
      <c r="C6" s="2"/>
      <c r="D6" s="2"/>
      <c r="E6" s="2"/>
      <c r="F6" s="2"/>
      <c r="G6" s="4"/>
      <c r="H6" s="4"/>
      <c r="I6" s="3"/>
      <c r="J6" s="2"/>
    </row>
    <row r="7" spans="1:10" s="83" customFormat="1" ht="20.100000000000001" customHeight="1" x14ac:dyDescent="0.25">
      <c r="A7" s="22">
        <v>2024</v>
      </c>
      <c r="B7" s="2" t="s">
        <v>154</v>
      </c>
      <c r="C7" s="2" t="s">
        <v>155</v>
      </c>
      <c r="D7" s="2" t="s">
        <v>129</v>
      </c>
      <c r="E7" s="2" t="s">
        <v>130</v>
      </c>
      <c r="F7" s="2">
        <v>0</v>
      </c>
      <c r="G7" s="30" t="s">
        <v>127</v>
      </c>
      <c r="H7" s="17">
        <v>0.14843999999999999</v>
      </c>
      <c r="I7" s="33">
        <f>IF(F7=0,0,F7*IF(LOWER(G7)="km",1,IF(OR(LOWER(G7)="mil",LOWER(G7)="mile",LOWER(G7)="miles"),1.60934,IF(LOWER(G7)="m",0.001,1)))*H7/1000)</f>
        <v>0</v>
      </c>
      <c r="J7" s="2"/>
    </row>
    <row r="8" spans="1:10" s="83" customFormat="1" ht="20.100000000000001" customHeight="1" x14ac:dyDescent="0.25">
      <c r="A8" s="22">
        <v>2024</v>
      </c>
      <c r="B8" s="2" t="s">
        <v>156</v>
      </c>
      <c r="C8" s="2" t="s">
        <v>155</v>
      </c>
      <c r="D8" s="2" t="s">
        <v>157</v>
      </c>
      <c r="E8" s="2" t="s">
        <v>130</v>
      </c>
      <c r="F8" s="2">
        <v>0</v>
      </c>
      <c r="G8" s="30" t="s">
        <v>127</v>
      </c>
      <c r="H8" s="17">
        <v>0.14843999999999999</v>
      </c>
      <c r="I8" s="33">
        <f>IF(F8=0,0,F8*IF(LOWER(G8)="km",1,IF(OR(LOWER(G8)="mil",LOWER(G8)="mile",LOWER(G8)="miles"),1.60934,IF(LOWER(G8)="m",0.001,1)))*H8/1000)</f>
        <v>0</v>
      </c>
      <c r="J8" s="2"/>
    </row>
    <row r="9" spans="1:10" s="83" customFormat="1" ht="20.100000000000001" customHeight="1" x14ac:dyDescent="0.25">
      <c r="A9" s="73"/>
      <c r="B9" s="73"/>
      <c r="C9" s="73"/>
      <c r="D9" s="73"/>
      <c r="E9" s="73"/>
      <c r="F9" s="73"/>
      <c r="G9" s="72"/>
      <c r="H9" s="72"/>
      <c r="I9" s="71"/>
      <c r="J9" s="73"/>
    </row>
    <row r="10" spans="1:10" ht="20.100000000000001" customHeight="1" x14ac:dyDescent="0.25">
      <c r="A10" s="22">
        <v>2025</v>
      </c>
      <c r="B10" s="2" t="s">
        <v>154</v>
      </c>
      <c r="C10" s="2" t="s">
        <v>155</v>
      </c>
      <c r="D10" s="2" t="s">
        <v>129</v>
      </c>
      <c r="E10" s="2" t="s">
        <v>130</v>
      </c>
      <c r="F10" s="2">
        <v>0</v>
      </c>
      <c r="G10" s="30" t="s">
        <v>127</v>
      </c>
      <c r="H10" s="17">
        <v>0.14843999999999999</v>
      </c>
      <c r="I10" s="33">
        <f>IF(F10=0,0,F10*IF(LOWER(G10)="km",1,IF(OR(LOWER(G10)="mil",LOWER(G10)="mile",LOWER(G10)="miles"),1.60934,IF(LOWER(G10)="m",0.001,1)))*H10/1000)</f>
        <v>0</v>
      </c>
      <c r="J10" s="2"/>
    </row>
    <row r="11" spans="1:10" ht="20.100000000000001" customHeight="1" x14ac:dyDescent="0.25">
      <c r="A11" s="22">
        <v>2025</v>
      </c>
      <c r="B11" s="2" t="s">
        <v>156</v>
      </c>
      <c r="C11" s="2" t="s">
        <v>155</v>
      </c>
      <c r="D11" s="2" t="s">
        <v>157</v>
      </c>
      <c r="E11" s="2" t="s">
        <v>130</v>
      </c>
      <c r="F11" s="2">
        <v>0</v>
      </c>
      <c r="G11" s="30" t="s">
        <v>127</v>
      </c>
      <c r="H11" s="17">
        <v>0.14843999999999999</v>
      </c>
      <c r="I11" s="33">
        <f>IF(F11=0,0,F11*IF(LOWER(G11)="km",1,IF(OR(LOWER(G11)="mil",LOWER(G11)="mile",LOWER(G11)="miles"),1.60934,IF(LOWER(G11)="m",0.001,1)))*H11/1000)</f>
        <v>0</v>
      </c>
      <c r="J11" s="2"/>
    </row>
    <row r="12" spans="1:10" ht="20.100000000000001" customHeight="1" x14ac:dyDescent="0.25">
      <c r="A12" s="2"/>
      <c r="B12" s="2"/>
      <c r="C12" s="2"/>
      <c r="D12" s="2"/>
      <c r="E12" s="2"/>
      <c r="F12" s="2"/>
      <c r="G12" s="4"/>
      <c r="H12" s="4"/>
      <c r="I12" s="3"/>
      <c r="J12" s="2"/>
    </row>
    <row r="14" spans="1:10" ht="20.100000000000001" customHeight="1" x14ac:dyDescent="0.25">
      <c r="A14" s="41" t="s">
        <v>63</v>
      </c>
      <c r="B14" s="42"/>
      <c r="C14" s="42"/>
      <c r="D14" s="42"/>
      <c r="E14" s="42"/>
      <c r="F14" s="42"/>
      <c r="G14" s="42"/>
      <c r="H14" s="42"/>
      <c r="I14" s="43"/>
      <c r="J14" s="28"/>
    </row>
    <row r="15" spans="1:10" ht="15" customHeight="1" x14ac:dyDescent="0.25">
      <c r="A15" s="39" t="s">
        <v>158</v>
      </c>
      <c r="B15" s="35"/>
      <c r="C15" s="35"/>
      <c r="D15" s="35"/>
      <c r="E15" s="35"/>
      <c r="F15" s="35"/>
      <c r="G15" s="35"/>
      <c r="H15" s="35"/>
      <c r="I15" s="35"/>
    </row>
    <row r="16" spans="1:10" ht="15" customHeight="1" x14ac:dyDescent="0.25">
      <c r="A16" s="39" t="s">
        <v>132</v>
      </c>
      <c r="B16" s="35"/>
      <c r="C16" s="35"/>
      <c r="D16" s="35"/>
      <c r="E16" s="35"/>
      <c r="F16" s="35"/>
      <c r="G16" s="35"/>
      <c r="H16" s="35"/>
      <c r="I16" s="35"/>
    </row>
    <row r="18" spans="1:2" ht="15.95" customHeight="1" x14ac:dyDescent="0.25">
      <c r="A18" s="5"/>
      <c r="B18" s="6" t="s">
        <v>68</v>
      </c>
    </row>
    <row r="19" spans="1:2" ht="15.95" customHeight="1" x14ac:dyDescent="0.25">
      <c r="A19" s="7"/>
      <c r="B19" s="8" t="s">
        <v>69</v>
      </c>
    </row>
    <row r="20" spans="1:2" ht="15.95" customHeight="1" x14ac:dyDescent="0.25">
      <c r="A20" s="9"/>
      <c r="B20" s="10" t="s">
        <v>70</v>
      </c>
    </row>
    <row r="21" spans="1:2" ht="15.95" customHeight="1" x14ac:dyDescent="0.25">
      <c r="A21" s="11"/>
      <c r="B21" s="12" t="s">
        <v>71</v>
      </c>
    </row>
  </sheetData>
  <mergeCells count="5">
    <mergeCell ref="A2:I2"/>
    <mergeCell ref="A14:I14"/>
    <mergeCell ref="A16:I16"/>
    <mergeCell ref="A1:I1"/>
    <mergeCell ref="A15:I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showGridLines="0" workbookViewId="0">
      <selection activeCell="L15" sqref="L15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4" customWidth="1"/>
    <col min="5" max="5" width="16" customWidth="1"/>
    <col min="6" max="6" width="14" customWidth="1"/>
    <col min="7" max="7" width="22" customWidth="1"/>
    <col min="8" max="8" width="14" customWidth="1"/>
    <col min="9" max="9" width="22" customWidth="1"/>
  </cols>
  <sheetData>
    <row r="1" spans="1:9" ht="33.950000000000003" customHeight="1" x14ac:dyDescent="0.25">
      <c r="A1" s="44" t="s">
        <v>159</v>
      </c>
      <c r="B1" s="35"/>
      <c r="C1" s="35"/>
      <c r="D1" s="35"/>
      <c r="E1" s="35"/>
      <c r="F1" s="35"/>
      <c r="G1" s="35"/>
      <c r="H1" s="35"/>
      <c r="I1" s="35"/>
    </row>
    <row r="2" spans="1:9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9" ht="38.1" customHeight="1" x14ac:dyDescent="0.25">
      <c r="A3" s="1" t="s">
        <v>38</v>
      </c>
      <c r="B3" s="1" t="s">
        <v>117</v>
      </c>
      <c r="C3" s="1" t="s">
        <v>160</v>
      </c>
      <c r="D3" s="1" t="s">
        <v>161</v>
      </c>
      <c r="E3" s="1" t="s">
        <v>162</v>
      </c>
      <c r="F3" s="1" t="s">
        <v>163</v>
      </c>
      <c r="G3" s="1" t="s">
        <v>164</v>
      </c>
      <c r="H3" s="1" t="s">
        <v>110</v>
      </c>
      <c r="I3" s="1" t="s">
        <v>51</v>
      </c>
    </row>
    <row r="4" spans="1:9" ht="20.100000000000001" customHeight="1" x14ac:dyDescent="0.25">
      <c r="A4" s="22">
        <v>2023</v>
      </c>
      <c r="B4" s="2" t="s">
        <v>165</v>
      </c>
      <c r="C4" s="2" t="s">
        <v>368</v>
      </c>
      <c r="D4" s="2">
        <v>52673.120000000003</v>
      </c>
      <c r="E4" s="2">
        <v>1</v>
      </c>
      <c r="F4" s="33">
        <f>D4/E4</f>
        <v>52673.120000000003</v>
      </c>
      <c r="G4" s="4">
        <v>9.7599999999999998E-4</v>
      </c>
      <c r="H4" s="18">
        <f>F4*G4</f>
        <v>51.408965120000005</v>
      </c>
      <c r="I4" s="2"/>
    </row>
    <row r="5" spans="1:9" ht="20.100000000000001" customHeight="1" x14ac:dyDescent="0.25">
      <c r="A5" s="22">
        <v>2023</v>
      </c>
      <c r="B5" s="2" t="s">
        <v>167</v>
      </c>
      <c r="C5" s="2" t="s">
        <v>369</v>
      </c>
      <c r="D5" s="2">
        <v>316</v>
      </c>
      <c r="E5" s="2">
        <v>1</v>
      </c>
      <c r="F5" s="33">
        <f>D5/E5</f>
        <v>316</v>
      </c>
      <c r="G5" s="4">
        <v>3.2099999999999997E-2</v>
      </c>
      <c r="H5" s="18">
        <f t="shared" ref="H5:H11" si="0">F5*G5</f>
        <v>10.143599999999999</v>
      </c>
      <c r="I5" s="2"/>
    </row>
    <row r="6" spans="1:9" ht="20.100000000000001" customHeight="1" x14ac:dyDescent="0.25">
      <c r="A6" s="22"/>
      <c r="B6" s="2"/>
      <c r="C6" s="2"/>
      <c r="D6" s="2"/>
      <c r="E6" s="2"/>
      <c r="F6" s="33"/>
      <c r="G6" s="4"/>
      <c r="H6" s="18"/>
      <c r="I6" s="2"/>
    </row>
    <row r="7" spans="1:9" ht="20.100000000000001" customHeight="1" x14ac:dyDescent="0.25">
      <c r="A7" s="22">
        <v>2024</v>
      </c>
      <c r="B7" s="2" t="s">
        <v>165</v>
      </c>
      <c r="C7" s="2" t="s">
        <v>166</v>
      </c>
      <c r="D7" s="2">
        <v>2193210.58</v>
      </c>
      <c r="E7" s="2">
        <v>32.5</v>
      </c>
      <c r="F7" s="33">
        <f>D7/E7</f>
        <v>67483.40246153847</v>
      </c>
      <c r="G7" s="4">
        <v>9.7599999999999998E-4</v>
      </c>
      <c r="H7" s="18">
        <f t="shared" si="0"/>
        <v>65.86380080246154</v>
      </c>
      <c r="I7" s="2"/>
    </row>
    <row r="8" spans="1:9" ht="20.100000000000001" customHeight="1" x14ac:dyDescent="0.25">
      <c r="A8" s="22">
        <v>2024</v>
      </c>
      <c r="B8" s="2" t="s">
        <v>167</v>
      </c>
      <c r="C8" s="2" t="s">
        <v>168</v>
      </c>
      <c r="D8" s="2">
        <v>672590.89</v>
      </c>
      <c r="E8" s="2">
        <v>32.5</v>
      </c>
      <c r="F8" s="33">
        <f>D8/E8</f>
        <v>20695.104307692309</v>
      </c>
      <c r="G8" s="4">
        <v>9.7599999999999998E-4</v>
      </c>
      <c r="H8" s="18">
        <f t="shared" si="0"/>
        <v>20.198421804307692</v>
      </c>
      <c r="I8" s="2"/>
    </row>
    <row r="9" spans="1:9" s="83" customFormat="1" ht="20.100000000000001" customHeight="1" x14ac:dyDescent="0.25">
      <c r="A9" s="22">
        <v>2024</v>
      </c>
      <c r="B9" s="2" t="s">
        <v>169</v>
      </c>
      <c r="C9" s="2" t="s">
        <v>170</v>
      </c>
      <c r="D9" s="2">
        <v>149</v>
      </c>
      <c r="E9" s="2">
        <v>1</v>
      </c>
      <c r="F9" s="33">
        <f>D9/E9</f>
        <v>149</v>
      </c>
      <c r="G9" s="4">
        <v>3.2099999999999997E-2</v>
      </c>
      <c r="H9" s="18">
        <f t="shared" si="0"/>
        <v>4.7828999999999997</v>
      </c>
      <c r="I9" s="2" t="s">
        <v>171</v>
      </c>
    </row>
    <row r="10" spans="1:9" s="83" customFormat="1" ht="20.100000000000001" customHeight="1" x14ac:dyDescent="0.25">
      <c r="A10" s="22">
        <v>2024</v>
      </c>
      <c r="B10" s="2" t="s">
        <v>172</v>
      </c>
      <c r="C10" s="2" t="s">
        <v>173</v>
      </c>
      <c r="D10" s="2">
        <v>1</v>
      </c>
      <c r="E10" s="2">
        <v>1</v>
      </c>
      <c r="F10" s="33">
        <f>D10/E10</f>
        <v>1</v>
      </c>
      <c r="G10" s="4">
        <v>1.32E-2</v>
      </c>
      <c r="H10" s="18">
        <f t="shared" si="0"/>
        <v>1.32E-2</v>
      </c>
      <c r="I10" s="2" t="s">
        <v>171</v>
      </c>
    </row>
    <row r="11" spans="1:9" s="83" customFormat="1" ht="20.100000000000001" customHeight="1" x14ac:dyDescent="0.25">
      <c r="A11" s="22">
        <v>2024</v>
      </c>
      <c r="B11" s="2" t="s">
        <v>174</v>
      </c>
      <c r="C11" s="2" t="s">
        <v>175</v>
      </c>
      <c r="D11" s="2">
        <v>1</v>
      </c>
      <c r="E11" s="2">
        <v>1</v>
      </c>
      <c r="F11" s="33">
        <f>D11/E11</f>
        <v>1</v>
      </c>
      <c r="G11" s="4">
        <v>1.43E-2</v>
      </c>
      <c r="H11" s="18">
        <f t="shared" si="0"/>
        <v>1.43E-2</v>
      </c>
      <c r="I11" s="2" t="s">
        <v>171</v>
      </c>
    </row>
    <row r="12" spans="1:9" s="83" customFormat="1" ht="20.100000000000001" customHeight="1" x14ac:dyDescent="0.25">
      <c r="A12" s="75"/>
      <c r="B12" s="73"/>
      <c r="C12" s="73"/>
      <c r="D12" s="73"/>
      <c r="E12" s="73"/>
      <c r="F12" s="33"/>
      <c r="G12" s="72"/>
      <c r="H12" s="61"/>
      <c r="I12" s="73"/>
    </row>
    <row r="13" spans="1:9" s="83" customFormat="1" ht="20.100000000000001" customHeight="1" x14ac:dyDescent="0.25">
      <c r="A13" s="22">
        <v>2025</v>
      </c>
      <c r="B13" s="2" t="s">
        <v>165</v>
      </c>
      <c r="C13" s="2" t="s">
        <v>166</v>
      </c>
      <c r="D13" s="80">
        <v>2226209.04</v>
      </c>
      <c r="E13" s="2">
        <v>39.5</v>
      </c>
      <c r="F13" s="33">
        <f>D13/E13</f>
        <v>56359.722531645573</v>
      </c>
      <c r="G13" s="4">
        <v>9.7599999999999998E-4</v>
      </c>
      <c r="H13" s="18">
        <f t="shared" ref="H13:H18" si="1">F13*G13</f>
        <v>55.007089190886077</v>
      </c>
      <c r="I13" s="2"/>
    </row>
    <row r="14" spans="1:9" s="83" customFormat="1" ht="20.100000000000001" customHeight="1" x14ac:dyDescent="0.25">
      <c r="A14" s="22">
        <v>2025</v>
      </c>
      <c r="B14" s="2" t="s">
        <v>167</v>
      </c>
      <c r="C14" s="2" t="s">
        <v>168</v>
      </c>
      <c r="D14" s="80">
        <v>382110.8</v>
      </c>
      <c r="E14" s="2">
        <v>39.5</v>
      </c>
      <c r="F14" s="33">
        <f>D14/E14</f>
        <v>9673.6911392405054</v>
      </c>
      <c r="G14" s="4">
        <v>9.7599999999999998E-4</v>
      </c>
      <c r="H14" s="18">
        <f t="shared" si="1"/>
        <v>9.4415225518987338</v>
      </c>
      <c r="I14" s="2"/>
    </row>
    <row r="15" spans="1:9" s="83" customFormat="1" ht="20.100000000000001" customHeight="1" x14ac:dyDescent="0.25">
      <c r="A15" s="22">
        <v>2025</v>
      </c>
      <c r="B15" s="2" t="s">
        <v>169</v>
      </c>
      <c r="C15" s="2" t="s">
        <v>170</v>
      </c>
      <c r="D15" s="2">
        <v>381</v>
      </c>
      <c r="E15" s="2">
        <v>1</v>
      </c>
      <c r="F15" s="33">
        <f>D15/E15</f>
        <v>381</v>
      </c>
      <c r="G15" s="4">
        <v>3.2099999999999997E-2</v>
      </c>
      <c r="H15" s="18">
        <f t="shared" si="1"/>
        <v>12.230099999999998</v>
      </c>
      <c r="I15" s="2" t="s">
        <v>171</v>
      </c>
    </row>
    <row r="16" spans="1:9" s="83" customFormat="1" ht="20.100000000000001" customHeight="1" x14ac:dyDescent="0.25">
      <c r="A16" s="22">
        <v>2025</v>
      </c>
      <c r="B16" s="2" t="s">
        <v>172</v>
      </c>
      <c r="C16" s="2" t="s">
        <v>173</v>
      </c>
      <c r="D16" s="2">
        <v>14</v>
      </c>
      <c r="E16" s="2">
        <v>1</v>
      </c>
      <c r="F16" s="33">
        <f>D16/E16</f>
        <v>14</v>
      </c>
      <c r="G16" s="4">
        <v>1.32E-2</v>
      </c>
      <c r="H16" s="18">
        <f t="shared" si="1"/>
        <v>0.18479999999999999</v>
      </c>
      <c r="I16" s="2" t="s">
        <v>171</v>
      </c>
    </row>
    <row r="17" spans="1:9" s="83" customFormat="1" ht="20.100000000000001" customHeight="1" x14ac:dyDescent="0.25">
      <c r="A17" s="22">
        <v>2025</v>
      </c>
      <c r="B17" s="2" t="s">
        <v>174</v>
      </c>
      <c r="C17" s="2" t="s">
        <v>372</v>
      </c>
      <c r="D17" s="2">
        <v>9</v>
      </c>
      <c r="E17" s="2">
        <v>1</v>
      </c>
      <c r="F17" s="33">
        <f>D17/E17</f>
        <v>9</v>
      </c>
      <c r="G17" s="4">
        <v>7.0000000000000001E-3</v>
      </c>
      <c r="H17" s="18">
        <f t="shared" si="1"/>
        <v>6.3E-2</v>
      </c>
      <c r="I17" s="2" t="s">
        <v>171</v>
      </c>
    </row>
    <row r="18" spans="1:9" s="83" customFormat="1" ht="20.100000000000001" customHeight="1" x14ac:dyDescent="0.25">
      <c r="A18" s="22">
        <v>2025</v>
      </c>
      <c r="B18" s="2" t="s">
        <v>370</v>
      </c>
      <c r="C18" s="59" t="s">
        <v>371</v>
      </c>
      <c r="D18" s="73">
        <v>2</v>
      </c>
      <c r="E18" s="73">
        <v>1</v>
      </c>
      <c r="F18" s="33">
        <f>D18/E18</f>
        <v>2</v>
      </c>
      <c r="G18" s="72">
        <v>1.6799999999999999E-2</v>
      </c>
      <c r="H18" s="61">
        <f t="shared" si="1"/>
        <v>3.3599999999999998E-2</v>
      </c>
      <c r="I18" s="2" t="s">
        <v>171</v>
      </c>
    </row>
    <row r="19" spans="1:9" s="83" customFormat="1" ht="20.100000000000001" customHeight="1" x14ac:dyDescent="0.25">
      <c r="A19" s="75"/>
      <c r="B19" s="73"/>
      <c r="C19" s="73"/>
      <c r="D19" s="73"/>
      <c r="E19" s="73"/>
      <c r="F19" s="33"/>
      <c r="G19" s="72"/>
      <c r="H19" s="61"/>
      <c r="I19" s="73"/>
    </row>
    <row r="20" spans="1:9" s="83" customFormat="1" ht="20.100000000000001" customHeight="1" x14ac:dyDescent="0.25">
      <c r="A20" s="22"/>
      <c r="B20" s="2"/>
      <c r="C20" s="2"/>
      <c r="D20" s="2"/>
      <c r="E20" s="2"/>
      <c r="F20" s="33"/>
      <c r="G20" s="4"/>
      <c r="H20" s="18"/>
      <c r="I20" s="2"/>
    </row>
    <row r="21" spans="1:9" ht="20.100000000000001" customHeight="1" x14ac:dyDescent="0.25">
      <c r="A21" s="22"/>
      <c r="B21" s="2"/>
      <c r="C21" s="2"/>
      <c r="D21" s="2"/>
      <c r="E21" s="2"/>
      <c r="F21" s="33"/>
      <c r="G21" s="4"/>
      <c r="H21" s="18"/>
      <c r="I21" s="2"/>
    </row>
    <row r="22" spans="1:9" ht="20.100000000000001" customHeight="1" x14ac:dyDescent="0.25">
      <c r="A22" s="22"/>
      <c r="B22" s="2"/>
      <c r="C22" s="2"/>
      <c r="D22" s="2"/>
      <c r="E22" s="2"/>
      <c r="F22" s="33"/>
      <c r="G22" s="4"/>
      <c r="H22" s="18"/>
      <c r="I22" s="2"/>
    </row>
    <row r="23" spans="1:9" ht="20.100000000000001" customHeight="1" x14ac:dyDescent="0.25">
      <c r="A23" s="22"/>
      <c r="B23" s="2"/>
      <c r="C23" s="2"/>
      <c r="D23" s="2"/>
      <c r="E23" s="2"/>
      <c r="F23" s="33"/>
      <c r="G23" s="4"/>
      <c r="H23" s="18"/>
      <c r="I23" s="2"/>
    </row>
    <row r="24" spans="1:9" ht="20.100000000000001" customHeight="1" x14ac:dyDescent="0.25">
      <c r="A24" s="22"/>
      <c r="B24" s="2"/>
      <c r="C24" s="2"/>
      <c r="D24" s="2"/>
      <c r="E24" s="2"/>
      <c r="F24" s="33"/>
      <c r="G24" s="4"/>
      <c r="H24" s="18"/>
      <c r="I24" s="2"/>
    </row>
    <row r="25" spans="1:9" x14ac:dyDescent="0.25">
      <c r="A25" s="75"/>
      <c r="B25" s="73"/>
      <c r="C25" s="73"/>
      <c r="D25" s="73"/>
      <c r="E25" s="73"/>
      <c r="F25" s="33"/>
      <c r="G25" s="72"/>
      <c r="H25" s="61"/>
      <c r="I25" s="73"/>
    </row>
    <row r="26" spans="1:9" ht="20.100000000000001" customHeight="1" x14ac:dyDescent="0.25">
      <c r="A26" s="41" t="s">
        <v>63</v>
      </c>
      <c r="B26" s="42"/>
      <c r="C26" s="42"/>
      <c r="D26" s="42"/>
      <c r="E26" s="42"/>
      <c r="F26" s="42"/>
      <c r="G26" s="42"/>
      <c r="H26" s="42"/>
      <c r="I26" s="43"/>
    </row>
    <row r="27" spans="1:9" ht="15" customHeight="1" x14ac:dyDescent="0.25">
      <c r="A27" s="39" t="s">
        <v>176</v>
      </c>
      <c r="B27" s="35"/>
      <c r="C27" s="35"/>
      <c r="D27" s="35"/>
      <c r="E27" s="35"/>
      <c r="F27" s="35"/>
      <c r="G27" s="35"/>
      <c r="H27" s="35"/>
      <c r="I27" s="35"/>
    </row>
    <row r="28" spans="1:9" ht="15" customHeight="1" x14ac:dyDescent="0.25">
      <c r="A28" s="39" t="s">
        <v>177</v>
      </c>
      <c r="B28" s="35"/>
      <c r="C28" s="35"/>
      <c r="D28" s="35"/>
      <c r="E28" s="35"/>
      <c r="F28" s="35"/>
      <c r="G28" s="35"/>
      <c r="H28" s="35"/>
      <c r="I28" s="35"/>
    </row>
    <row r="29" spans="1:9" ht="15" customHeight="1" x14ac:dyDescent="0.25">
      <c r="A29" s="39" t="s">
        <v>178</v>
      </c>
      <c r="B29" s="35"/>
      <c r="C29" s="35"/>
      <c r="D29" s="35"/>
      <c r="E29" s="35"/>
      <c r="F29" s="35"/>
      <c r="G29" s="35"/>
      <c r="H29" s="35"/>
      <c r="I29" s="35"/>
    </row>
    <row r="31" spans="1:9" ht="15.95" customHeight="1" x14ac:dyDescent="0.25">
      <c r="A31" s="5"/>
      <c r="B31" s="6" t="s">
        <v>68</v>
      </c>
    </row>
    <row r="32" spans="1:9" ht="15.95" customHeight="1" x14ac:dyDescent="0.25">
      <c r="A32" s="7"/>
      <c r="B32" s="8" t="s">
        <v>69</v>
      </c>
    </row>
    <row r="33" spans="1:2" ht="15.95" customHeight="1" x14ac:dyDescent="0.25">
      <c r="A33" s="9"/>
      <c r="B33" s="10" t="s">
        <v>70</v>
      </c>
    </row>
    <row r="34" spans="1:2" ht="15.95" customHeight="1" x14ac:dyDescent="0.25">
      <c r="A34" s="11"/>
      <c r="B34" s="12" t="s">
        <v>71</v>
      </c>
    </row>
  </sheetData>
  <mergeCells count="6">
    <mergeCell ref="A27:I27"/>
    <mergeCell ref="A2:I2"/>
    <mergeCell ref="A26:I26"/>
    <mergeCell ref="A1:I1"/>
    <mergeCell ref="A29:I29"/>
    <mergeCell ref="A28:I28"/>
  </mergeCells>
  <phoneticPr fontId="3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5"/>
  <sheetViews>
    <sheetView showGridLines="0" topLeftCell="A11" workbookViewId="0">
      <selection activeCell="C47" sqref="C47"/>
    </sheetView>
  </sheetViews>
  <sheetFormatPr defaultRowHeight="15" x14ac:dyDescent="0.25"/>
  <cols>
    <col min="1" max="1" width="8" customWidth="1"/>
    <col min="2" max="2" width="10" customWidth="1"/>
    <col min="3" max="3" width="59.7109375" style="77" customWidth="1"/>
    <col min="4" max="5" width="14" customWidth="1"/>
    <col min="6" max="6" width="20" customWidth="1"/>
    <col min="7" max="7" width="59.7109375" customWidth="1"/>
    <col min="8" max="8" width="14" customWidth="1"/>
    <col min="9" max="9" width="22" customWidth="1"/>
  </cols>
  <sheetData>
    <row r="1" spans="1:9" ht="33.950000000000003" customHeight="1" x14ac:dyDescent="0.25">
      <c r="A1" s="44" t="s">
        <v>179</v>
      </c>
      <c r="B1" s="35"/>
      <c r="C1" s="35"/>
      <c r="D1" s="35"/>
      <c r="E1" s="35"/>
      <c r="F1" s="35"/>
      <c r="G1" s="35"/>
      <c r="H1" s="35"/>
      <c r="I1" s="35"/>
    </row>
    <row r="2" spans="1:9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9" ht="38.1" customHeight="1" x14ac:dyDescent="0.25">
      <c r="A3" s="1" t="s">
        <v>38</v>
      </c>
      <c r="B3" s="1" t="s">
        <v>117</v>
      </c>
      <c r="C3" s="78" t="s">
        <v>180</v>
      </c>
      <c r="D3" s="1" t="s">
        <v>181</v>
      </c>
      <c r="E3" s="29" t="s">
        <v>182</v>
      </c>
      <c r="F3" s="1" t="s">
        <v>183</v>
      </c>
      <c r="G3" s="1" t="s">
        <v>184</v>
      </c>
      <c r="H3" s="1" t="s">
        <v>110</v>
      </c>
      <c r="I3" s="1" t="s">
        <v>51</v>
      </c>
    </row>
    <row r="4" spans="1:9" ht="20.100000000000001" customHeight="1" x14ac:dyDescent="0.25">
      <c r="A4" s="22">
        <v>2023</v>
      </c>
      <c r="B4" s="2" t="s">
        <v>185</v>
      </c>
      <c r="C4" s="2" t="s">
        <v>373</v>
      </c>
      <c r="D4" s="2">
        <v>998.1</v>
      </c>
      <c r="E4" s="2" t="s">
        <v>356</v>
      </c>
      <c r="F4" s="4">
        <v>0.04</v>
      </c>
      <c r="G4" s="4" t="s">
        <v>424</v>
      </c>
      <c r="H4" s="33">
        <f>D4*F4</f>
        <v>39.923999999999999</v>
      </c>
      <c r="I4" s="2"/>
    </row>
    <row r="5" spans="1:9" ht="20.100000000000001" customHeight="1" x14ac:dyDescent="0.25">
      <c r="A5" s="22">
        <v>2023</v>
      </c>
      <c r="B5" s="2" t="s">
        <v>188</v>
      </c>
      <c r="C5" s="2" t="s">
        <v>374</v>
      </c>
      <c r="D5" s="2">
        <v>136218.87486460464</v>
      </c>
      <c r="E5" s="2" t="s">
        <v>190</v>
      </c>
      <c r="F5" s="4">
        <v>0.92399999999999993</v>
      </c>
      <c r="G5" s="4" t="s">
        <v>425</v>
      </c>
      <c r="H5" s="33">
        <f>D5*F5/1000</f>
        <v>125.86624037489469</v>
      </c>
      <c r="I5" s="2"/>
    </row>
    <row r="6" spans="1:9" ht="20.100000000000001" customHeight="1" x14ac:dyDescent="0.25">
      <c r="A6" s="22">
        <v>2023</v>
      </c>
      <c r="B6" s="2" t="s">
        <v>192</v>
      </c>
      <c r="C6" s="2" t="s">
        <v>375</v>
      </c>
      <c r="D6" s="2">
        <v>9394.2273513659893</v>
      </c>
      <c r="E6" s="2" t="s">
        <v>190</v>
      </c>
      <c r="F6" s="4">
        <v>0.27299710032898139</v>
      </c>
      <c r="G6" s="4" t="s">
        <v>426</v>
      </c>
      <c r="H6" s="33">
        <f t="shared" ref="H6:H31" si="0">D6*F6/1000</f>
        <v>2.5645968267541219</v>
      </c>
      <c r="I6" s="2"/>
    </row>
    <row r="7" spans="1:9" ht="20.100000000000001" customHeight="1" x14ac:dyDescent="0.25">
      <c r="A7" s="22">
        <v>2023</v>
      </c>
      <c r="B7" s="2" t="s">
        <v>194</v>
      </c>
      <c r="C7" s="2" t="s">
        <v>376</v>
      </c>
      <c r="D7" s="2">
        <v>389.95704958478757</v>
      </c>
      <c r="E7" s="2" t="s">
        <v>190</v>
      </c>
      <c r="F7" s="4">
        <v>0.27600000000000002</v>
      </c>
      <c r="G7" s="4" t="s">
        <v>427</v>
      </c>
      <c r="H7" s="33">
        <f t="shared" si="0"/>
        <v>0.10762814568540138</v>
      </c>
      <c r="I7" s="2"/>
    </row>
    <row r="8" spans="1:9" ht="20.100000000000001" customHeight="1" x14ac:dyDescent="0.25">
      <c r="A8" s="22">
        <v>2023</v>
      </c>
      <c r="B8" s="2" t="s">
        <v>195</v>
      </c>
      <c r="C8" s="2" t="s">
        <v>377</v>
      </c>
      <c r="D8" s="2">
        <v>19123.800246720421</v>
      </c>
      <c r="E8" s="2" t="s">
        <v>190</v>
      </c>
      <c r="F8" s="4">
        <v>0.28329809828883767</v>
      </c>
      <c r="G8" s="4" t="s">
        <v>428</v>
      </c>
      <c r="H8" s="33">
        <f t="shared" si="0"/>
        <v>5.4177362419515003</v>
      </c>
      <c r="I8" s="2"/>
    </row>
    <row r="9" spans="1:9" s="83" customFormat="1" ht="20.100000000000001" customHeight="1" x14ac:dyDescent="0.25">
      <c r="A9" s="22">
        <v>2023</v>
      </c>
      <c r="B9" s="73" t="s">
        <v>378</v>
      </c>
      <c r="C9" s="73" t="s">
        <v>379</v>
      </c>
      <c r="D9" s="73">
        <v>264.53770008424596</v>
      </c>
      <c r="E9" s="2" t="s">
        <v>190</v>
      </c>
      <c r="F9" s="72">
        <v>0.31217979339583207</v>
      </c>
      <c r="G9" s="4" t="s">
        <v>429</v>
      </c>
      <c r="H9" s="33">
        <f t="shared" si="0"/>
        <v>8.258332455770849E-2</v>
      </c>
      <c r="I9" s="73"/>
    </row>
    <row r="10" spans="1:9" s="83" customFormat="1" ht="20.100000000000001" customHeight="1" x14ac:dyDescent="0.25">
      <c r="A10" s="22">
        <v>2023</v>
      </c>
      <c r="B10" s="73" t="s">
        <v>380</v>
      </c>
      <c r="C10" s="73" t="s">
        <v>381</v>
      </c>
      <c r="D10" s="73">
        <v>9.4024551690937539</v>
      </c>
      <c r="E10" s="2" t="s">
        <v>190</v>
      </c>
      <c r="F10" s="72">
        <v>0.97100000000000009</v>
      </c>
      <c r="G10" s="4" t="s">
        <v>430</v>
      </c>
      <c r="H10" s="33">
        <f t="shared" si="0"/>
        <v>9.1297839691900362E-3</v>
      </c>
      <c r="I10" s="73"/>
    </row>
    <row r="11" spans="1:9" s="83" customFormat="1" ht="20.100000000000001" customHeight="1" x14ac:dyDescent="0.25">
      <c r="A11" s="22">
        <v>2023</v>
      </c>
      <c r="B11" s="73" t="s">
        <v>382</v>
      </c>
      <c r="C11" s="73" t="s">
        <v>383</v>
      </c>
      <c r="D11" s="73">
        <v>51650.863145384537</v>
      </c>
      <c r="E11" s="2" t="s">
        <v>190</v>
      </c>
      <c r="F11" s="72">
        <v>0.74950740301450347</v>
      </c>
      <c r="G11" s="4" t="s">
        <v>431</v>
      </c>
      <c r="H11" s="33">
        <f t="shared" si="0"/>
        <v>38.712704299554694</v>
      </c>
      <c r="I11" s="73"/>
    </row>
    <row r="12" spans="1:9" s="83" customFormat="1" ht="20.100000000000001" customHeight="1" x14ac:dyDescent="0.25">
      <c r="A12" s="22">
        <v>2023</v>
      </c>
      <c r="B12" s="73" t="s">
        <v>384</v>
      </c>
      <c r="C12" s="73" t="s">
        <v>385</v>
      </c>
      <c r="D12" s="73">
        <v>6067.8048652064026</v>
      </c>
      <c r="E12" s="2" t="s">
        <v>190</v>
      </c>
      <c r="F12" s="72">
        <v>0.12969462335199938</v>
      </c>
      <c r="G12" s="4" t="s">
        <v>432</v>
      </c>
      <c r="H12" s="33">
        <f t="shared" si="0"/>
        <v>0.78696166656637379</v>
      </c>
      <c r="I12" s="73"/>
    </row>
    <row r="13" spans="1:9" s="83" customFormat="1" ht="20.100000000000001" customHeight="1" x14ac:dyDescent="0.25">
      <c r="A13" s="22">
        <v>2023</v>
      </c>
      <c r="B13" s="73" t="s">
        <v>386</v>
      </c>
      <c r="C13" s="73" t="s">
        <v>387</v>
      </c>
      <c r="D13" s="73">
        <v>29791.547192802984</v>
      </c>
      <c r="E13" s="2" t="s">
        <v>190</v>
      </c>
      <c r="F13" s="72">
        <v>0.33276701176229911</v>
      </c>
      <c r="G13" s="4" t="s">
        <v>433</v>
      </c>
      <c r="H13" s="33">
        <f t="shared" si="0"/>
        <v>9.9136441351245601</v>
      </c>
      <c r="I13" s="73"/>
    </row>
    <row r="14" spans="1:9" s="83" customFormat="1" ht="20.100000000000001" customHeight="1" x14ac:dyDescent="0.25">
      <c r="A14" s="22">
        <v>2023</v>
      </c>
      <c r="B14" s="73" t="s">
        <v>388</v>
      </c>
      <c r="C14" s="73" t="s">
        <v>389</v>
      </c>
      <c r="D14" s="73">
        <v>9757.4786376218563</v>
      </c>
      <c r="E14" s="2" t="s">
        <v>190</v>
      </c>
      <c r="F14" s="72">
        <v>9.7000000000000003E-2</v>
      </c>
      <c r="G14" s="4" t="s">
        <v>434</v>
      </c>
      <c r="H14" s="33">
        <f t="shared" si="0"/>
        <v>0.94647542784932015</v>
      </c>
      <c r="I14" s="73"/>
    </row>
    <row r="15" spans="1:9" s="83" customFormat="1" ht="20.100000000000001" customHeight="1" x14ac:dyDescent="0.25">
      <c r="A15" s="22">
        <v>2023</v>
      </c>
      <c r="B15" s="73" t="s">
        <v>390</v>
      </c>
      <c r="C15" s="73" t="s">
        <v>391</v>
      </c>
      <c r="D15" s="73">
        <v>17314.307527981706</v>
      </c>
      <c r="E15" s="2" t="s">
        <v>190</v>
      </c>
      <c r="F15" s="72">
        <v>0.57913937912011271</v>
      </c>
      <c r="G15" s="4" t="s">
        <v>435</v>
      </c>
      <c r="H15" s="33">
        <f t="shared" si="0"/>
        <v>10.027397311650018</v>
      </c>
      <c r="I15" s="73"/>
    </row>
    <row r="16" spans="1:9" s="83" customFormat="1" ht="20.100000000000001" customHeight="1" x14ac:dyDescent="0.25">
      <c r="A16" s="22">
        <v>2023</v>
      </c>
      <c r="B16" s="73" t="s">
        <v>392</v>
      </c>
      <c r="C16" s="73" t="s">
        <v>393</v>
      </c>
      <c r="D16" s="73">
        <v>7180.5910759417493</v>
      </c>
      <c r="E16" s="2" t="s">
        <v>190</v>
      </c>
      <c r="F16" s="72">
        <v>0.96234443779255863</v>
      </c>
      <c r="G16" s="4" t="s">
        <v>436</v>
      </c>
      <c r="H16" s="33">
        <f t="shared" si="0"/>
        <v>6.9102018819954267</v>
      </c>
      <c r="I16" s="73"/>
    </row>
    <row r="17" spans="1:9" s="83" customFormat="1" ht="20.100000000000001" customHeight="1" x14ac:dyDescent="0.25">
      <c r="A17" s="22">
        <v>2023</v>
      </c>
      <c r="B17" s="73" t="s">
        <v>394</v>
      </c>
      <c r="C17" s="73" t="s">
        <v>395</v>
      </c>
      <c r="D17" s="73">
        <v>7168.1211637982906</v>
      </c>
      <c r="E17" s="2" t="s">
        <v>190</v>
      </c>
      <c r="F17" s="72">
        <v>0.45574778592188719</v>
      </c>
      <c r="G17" s="4" t="s">
        <v>437</v>
      </c>
      <c r="H17" s="33">
        <f t="shared" si="0"/>
        <v>3.2668553496208923</v>
      </c>
      <c r="I17" s="73"/>
    </row>
    <row r="18" spans="1:9" s="83" customFormat="1" ht="20.100000000000001" customHeight="1" x14ac:dyDescent="0.25">
      <c r="A18" s="22">
        <v>2023</v>
      </c>
      <c r="B18" s="73" t="s">
        <v>396</v>
      </c>
      <c r="C18" s="73" t="s">
        <v>397</v>
      </c>
      <c r="D18" s="73">
        <v>15046.697481646408</v>
      </c>
      <c r="E18" s="2" t="s">
        <v>190</v>
      </c>
      <c r="F18" s="72">
        <v>0.47552946378895289</v>
      </c>
      <c r="G18" s="4" t="s">
        <v>438</v>
      </c>
      <c r="H18" s="33">
        <f t="shared" si="0"/>
        <v>7.1551479852419044</v>
      </c>
      <c r="I18" s="73"/>
    </row>
    <row r="19" spans="1:9" s="83" customFormat="1" ht="20.100000000000001" customHeight="1" x14ac:dyDescent="0.25">
      <c r="A19" s="22">
        <v>2023</v>
      </c>
      <c r="B19" s="73" t="s">
        <v>398</v>
      </c>
      <c r="C19" s="73" t="s">
        <v>399</v>
      </c>
      <c r="D19" s="73">
        <v>53052.238536526653</v>
      </c>
      <c r="E19" s="2" t="s">
        <v>190</v>
      </c>
      <c r="F19" s="72">
        <v>0.30211830027570763</v>
      </c>
      <c r="G19" s="4" t="s">
        <v>439</v>
      </c>
      <c r="H19" s="33">
        <f t="shared" si="0"/>
        <v>16.028052132476827</v>
      </c>
      <c r="I19" s="73"/>
    </row>
    <row r="20" spans="1:9" s="83" customFormat="1" ht="20.100000000000001" customHeight="1" x14ac:dyDescent="0.25">
      <c r="A20" s="22">
        <v>2023</v>
      </c>
      <c r="B20" s="73" t="s">
        <v>400</v>
      </c>
      <c r="C20" s="73" t="s">
        <v>401</v>
      </c>
      <c r="D20" s="73">
        <v>1230.8893218197138</v>
      </c>
      <c r="E20" s="2" t="s">
        <v>190</v>
      </c>
      <c r="F20" s="72">
        <v>0.22124954205696853</v>
      </c>
      <c r="G20" s="4" t="s">
        <v>440</v>
      </c>
      <c r="H20" s="33">
        <f t="shared" si="0"/>
        <v>0.27233369877542424</v>
      </c>
      <c r="I20" s="73"/>
    </row>
    <row r="21" spans="1:9" s="83" customFormat="1" ht="20.100000000000001" customHeight="1" x14ac:dyDescent="0.25">
      <c r="A21" s="22">
        <v>2023</v>
      </c>
      <c r="B21" s="73" t="s">
        <v>402</v>
      </c>
      <c r="C21" s="73" t="s">
        <v>403</v>
      </c>
      <c r="D21" s="73">
        <v>33952.264412083285</v>
      </c>
      <c r="E21" s="2" t="s">
        <v>190</v>
      </c>
      <c r="F21" s="72">
        <v>0.93411686203460509</v>
      </c>
      <c r="G21" s="4" t="s">
        <v>441</v>
      </c>
      <c r="H21" s="33">
        <f t="shared" si="0"/>
        <v>31.715382691584434</v>
      </c>
      <c r="I21" s="73"/>
    </row>
    <row r="22" spans="1:9" s="83" customFormat="1" ht="20.100000000000001" customHeight="1" x14ac:dyDescent="0.25">
      <c r="A22" s="22">
        <v>2023</v>
      </c>
      <c r="B22" s="73" t="s">
        <v>404</v>
      </c>
      <c r="C22" s="73" t="s">
        <v>405</v>
      </c>
      <c r="D22" s="73">
        <v>10148.001790227465</v>
      </c>
      <c r="E22" s="2" t="s">
        <v>190</v>
      </c>
      <c r="F22" s="72">
        <v>0.334103964451684</v>
      </c>
      <c r="G22" s="4" t="s">
        <v>442</v>
      </c>
      <c r="H22" s="33">
        <f t="shared" si="0"/>
        <v>3.3904876293777826</v>
      </c>
      <c r="I22" s="73"/>
    </row>
    <row r="23" spans="1:9" s="83" customFormat="1" ht="20.100000000000001" customHeight="1" x14ac:dyDescent="0.25">
      <c r="A23" s="22">
        <v>2023</v>
      </c>
      <c r="B23" s="73" t="s">
        <v>406</v>
      </c>
      <c r="C23" s="73" t="s">
        <v>407</v>
      </c>
      <c r="D23" s="73">
        <v>123912.95395053556</v>
      </c>
      <c r="E23" s="2" t="s">
        <v>190</v>
      </c>
      <c r="F23" s="72">
        <v>0.46340284997397713</v>
      </c>
      <c r="G23" s="4" t="s">
        <v>443</v>
      </c>
      <c r="H23" s="33">
        <f t="shared" si="0"/>
        <v>57.421616009372364</v>
      </c>
      <c r="I23" s="73"/>
    </row>
    <row r="24" spans="1:9" s="83" customFormat="1" ht="20.100000000000001" customHeight="1" x14ac:dyDescent="0.25">
      <c r="A24" s="22">
        <v>2023</v>
      </c>
      <c r="B24" s="73" t="s">
        <v>408</v>
      </c>
      <c r="C24" s="73" t="s">
        <v>409</v>
      </c>
      <c r="D24" s="73">
        <v>25161.546214947644</v>
      </c>
      <c r="E24" s="2" t="s">
        <v>190</v>
      </c>
      <c r="F24" s="72">
        <v>0.38706607615502736</v>
      </c>
      <c r="G24" s="4" t="s">
        <v>444</v>
      </c>
      <c r="H24" s="33">
        <f t="shared" si="0"/>
        <v>9.7391809634131654</v>
      </c>
      <c r="I24" s="73"/>
    </row>
    <row r="25" spans="1:9" s="83" customFormat="1" ht="20.100000000000001" customHeight="1" x14ac:dyDescent="0.25">
      <c r="A25" s="22">
        <v>2023</v>
      </c>
      <c r="B25" s="73" t="s">
        <v>410</v>
      </c>
      <c r="C25" s="73" t="s">
        <v>411</v>
      </c>
      <c r="D25" s="73">
        <v>2027.3313763689978</v>
      </c>
      <c r="E25" s="2" t="s">
        <v>190</v>
      </c>
      <c r="F25" s="72">
        <v>0.27600000000000002</v>
      </c>
      <c r="G25" s="4" t="s">
        <v>445</v>
      </c>
      <c r="H25" s="33">
        <f t="shared" si="0"/>
        <v>0.55954345987784349</v>
      </c>
      <c r="I25" s="73"/>
    </row>
    <row r="26" spans="1:9" s="83" customFormat="1" ht="20.100000000000001" customHeight="1" x14ac:dyDescent="0.25">
      <c r="A26" s="22">
        <v>2023</v>
      </c>
      <c r="B26" s="73" t="s">
        <v>412</v>
      </c>
      <c r="C26" s="73" t="s">
        <v>413</v>
      </c>
      <c r="D26" s="73">
        <v>1978910.0706838972</v>
      </c>
      <c r="E26" s="2" t="s">
        <v>190</v>
      </c>
      <c r="F26" s="72">
        <v>9.7000000000000003E-2</v>
      </c>
      <c r="G26" s="4" t="s">
        <v>446</v>
      </c>
      <c r="H26" s="33">
        <f t="shared" si="0"/>
        <v>191.95427685633805</v>
      </c>
      <c r="I26" s="73"/>
    </row>
    <row r="27" spans="1:9" s="83" customFormat="1" ht="20.100000000000001" customHeight="1" x14ac:dyDescent="0.25">
      <c r="A27" s="22">
        <v>2023</v>
      </c>
      <c r="B27" s="73" t="s">
        <v>414</v>
      </c>
      <c r="C27" s="73" t="s">
        <v>415</v>
      </c>
      <c r="D27" s="73">
        <v>3222.8998676134306</v>
      </c>
      <c r="E27" s="2" t="s">
        <v>190</v>
      </c>
      <c r="F27" s="72">
        <v>1.23</v>
      </c>
      <c r="G27" s="4" t="s">
        <v>447</v>
      </c>
      <c r="H27" s="33">
        <f t="shared" si="0"/>
        <v>3.9641668371645196</v>
      </c>
      <c r="I27" s="73"/>
    </row>
    <row r="28" spans="1:9" s="83" customFormat="1" ht="20.100000000000001" customHeight="1" x14ac:dyDescent="0.25">
      <c r="A28" s="22">
        <v>2023</v>
      </c>
      <c r="B28" s="73" t="s">
        <v>416</v>
      </c>
      <c r="C28" s="73" t="s">
        <v>417</v>
      </c>
      <c r="D28" s="73">
        <v>42565.933400529531</v>
      </c>
      <c r="E28" s="2" t="s">
        <v>190</v>
      </c>
      <c r="F28" s="72">
        <v>0.56967982163342823</v>
      </c>
      <c r="G28" s="4" t="s">
        <v>448</v>
      </c>
      <c r="H28" s="33">
        <f t="shared" si="0"/>
        <v>24.248953347274046</v>
      </c>
      <c r="I28" s="73"/>
    </row>
    <row r="29" spans="1:9" s="83" customFormat="1" ht="20.100000000000001" customHeight="1" x14ac:dyDescent="0.25">
      <c r="A29" s="22">
        <v>2023</v>
      </c>
      <c r="B29" s="73" t="s">
        <v>418</v>
      </c>
      <c r="C29" s="73" t="s">
        <v>419</v>
      </c>
      <c r="D29" s="73">
        <v>4977.1922764472256</v>
      </c>
      <c r="E29" s="2" t="s">
        <v>190</v>
      </c>
      <c r="F29" s="72">
        <v>0.29822798967821457</v>
      </c>
      <c r="G29" s="4" t="s">
        <v>449</v>
      </c>
      <c r="H29" s="33">
        <f t="shared" si="0"/>
        <v>1.4843380468467924</v>
      </c>
      <c r="I29" s="73"/>
    </row>
    <row r="30" spans="1:9" s="83" customFormat="1" ht="20.100000000000001" customHeight="1" x14ac:dyDescent="0.25">
      <c r="A30" s="22">
        <v>2023</v>
      </c>
      <c r="B30" s="73" t="s">
        <v>420</v>
      </c>
      <c r="C30" s="73" t="s">
        <v>421</v>
      </c>
      <c r="D30" s="73">
        <v>60538.333809724405</v>
      </c>
      <c r="E30" s="2" t="s">
        <v>190</v>
      </c>
      <c r="F30" s="72">
        <v>0.37271056772170374</v>
      </c>
      <c r="G30" s="4" t="s">
        <v>450</v>
      </c>
      <c r="H30" s="33">
        <f t="shared" si="0"/>
        <v>22.563276763148394</v>
      </c>
      <c r="I30" s="73"/>
    </row>
    <row r="31" spans="1:9" s="83" customFormat="1" ht="20.100000000000001" customHeight="1" x14ac:dyDescent="0.25">
      <c r="A31" s="22">
        <v>2023</v>
      </c>
      <c r="B31" s="73" t="s">
        <v>422</v>
      </c>
      <c r="C31" s="73" t="s">
        <v>423</v>
      </c>
      <c r="D31" s="73">
        <v>124.81947286075339</v>
      </c>
      <c r="E31" s="2" t="s">
        <v>190</v>
      </c>
      <c r="F31" s="72">
        <v>0.6219681812703387</v>
      </c>
      <c r="G31" s="4" t="s">
        <v>451</v>
      </c>
      <c r="H31" s="33">
        <f t="shared" si="0"/>
        <v>7.763374052232519E-2</v>
      </c>
      <c r="I31" s="73"/>
    </row>
    <row r="32" spans="1:9" s="83" customFormat="1" ht="20.100000000000001" customHeight="1" x14ac:dyDescent="0.25">
      <c r="A32" s="75"/>
      <c r="B32" s="73"/>
      <c r="C32" s="73"/>
      <c r="D32" s="73"/>
      <c r="E32" s="73"/>
      <c r="F32" s="72"/>
      <c r="G32" s="72"/>
      <c r="H32" s="33"/>
      <c r="I32" s="73"/>
    </row>
    <row r="33" spans="1:9" s="83" customFormat="1" ht="20.100000000000001" customHeight="1" x14ac:dyDescent="0.25">
      <c r="A33" s="75">
        <v>2024</v>
      </c>
      <c r="B33" s="2" t="s">
        <v>185</v>
      </c>
      <c r="C33" s="73" t="s">
        <v>373</v>
      </c>
      <c r="D33" s="73">
        <v>1027.7</v>
      </c>
      <c r="E33" s="73" t="s">
        <v>452</v>
      </c>
      <c r="F33" s="72">
        <v>0.04</v>
      </c>
      <c r="G33" s="72"/>
      <c r="H33" s="33">
        <f>D33*F33</f>
        <v>41.108000000000004</v>
      </c>
      <c r="I33" s="73"/>
    </row>
    <row r="34" spans="1:9" s="83" customFormat="1" ht="20.100000000000001" customHeight="1" x14ac:dyDescent="0.25">
      <c r="A34" s="75">
        <v>2024</v>
      </c>
      <c r="B34" s="2" t="s">
        <v>188</v>
      </c>
      <c r="C34" s="73" t="s">
        <v>186</v>
      </c>
      <c r="D34" s="73">
        <v>165.3</v>
      </c>
      <c r="E34" s="73" t="s">
        <v>453</v>
      </c>
      <c r="F34" s="68">
        <v>1345.08</v>
      </c>
      <c r="G34" s="72" t="s">
        <v>187</v>
      </c>
      <c r="H34" s="33">
        <f>D34*F34/1000</f>
        <v>222.34172400000003</v>
      </c>
      <c r="I34" s="73"/>
    </row>
    <row r="35" spans="1:9" s="83" customFormat="1" ht="20.100000000000001" customHeight="1" x14ac:dyDescent="0.25">
      <c r="A35" s="75">
        <v>2024</v>
      </c>
      <c r="B35" s="2" t="s">
        <v>192</v>
      </c>
      <c r="C35" s="73" t="s">
        <v>189</v>
      </c>
      <c r="D35" s="82">
        <v>154300.38</v>
      </c>
      <c r="E35" s="73" t="s">
        <v>190</v>
      </c>
      <c r="F35" s="72">
        <v>0.78400000000000003</v>
      </c>
      <c r="G35" s="72" t="s">
        <v>424</v>
      </c>
      <c r="H35" s="33">
        <f t="shared" ref="H35:H38" si="1">D35*F35/1000</f>
        <v>120.97149792</v>
      </c>
      <c r="I35" s="73"/>
    </row>
    <row r="36" spans="1:9" s="83" customFormat="1" ht="20.100000000000001" customHeight="1" x14ac:dyDescent="0.25">
      <c r="A36" s="75">
        <v>2024</v>
      </c>
      <c r="B36" s="2" t="s">
        <v>194</v>
      </c>
      <c r="C36" s="73" t="s">
        <v>193</v>
      </c>
      <c r="D36" s="82">
        <v>260819.3</v>
      </c>
      <c r="E36" s="73" t="s">
        <v>190</v>
      </c>
      <c r="F36" s="72">
        <v>1.08</v>
      </c>
      <c r="G36" s="72" t="s">
        <v>424</v>
      </c>
      <c r="H36" s="33">
        <f t="shared" si="1"/>
        <v>281.684844</v>
      </c>
      <c r="I36" s="73"/>
    </row>
    <row r="37" spans="1:9" s="83" customFormat="1" ht="20.100000000000001" customHeight="1" x14ac:dyDescent="0.25">
      <c r="A37" s="75">
        <v>2024</v>
      </c>
      <c r="B37" s="2" t="s">
        <v>195</v>
      </c>
      <c r="C37" s="73" t="s">
        <v>407</v>
      </c>
      <c r="D37" s="82">
        <v>104417.57</v>
      </c>
      <c r="E37" s="73" t="s">
        <v>190</v>
      </c>
      <c r="F37" s="72">
        <v>0.66</v>
      </c>
      <c r="G37" s="72" t="s">
        <v>424</v>
      </c>
      <c r="H37" s="33">
        <f t="shared" si="1"/>
        <v>68.91559620000001</v>
      </c>
      <c r="I37" s="73"/>
    </row>
    <row r="38" spans="1:9" s="83" customFormat="1" ht="20.100000000000001" customHeight="1" x14ac:dyDescent="0.25">
      <c r="A38" s="75">
        <v>2024</v>
      </c>
      <c r="B38" s="73" t="s">
        <v>378</v>
      </c>
      <c r="C38" s="73" t="s">
        <v>383</v>
      </c>
      <c r="D38" s="82">
        <v>81466.63</v>
      </c>
      <c r="E38" s="73" t="s">
        <v>190</v>
      </c>
      <c r="F38" s="72">
        <v>0.74</v>
      </c>
      <c r="G38" s="72" t="s">
        <v>424</v>
      </c>
      <c r="H38" s="33">
        <f t="shared" si="1"/>
        <v>60.285306200000008</v>
      </c>
      <c r="I38" s="73"/>
    </row>
    <row r="39" spans="1:9" s="83" customFormat="1" ht="20.100000000000001" customHeight="1" x14ac:dyDescent="0.25">
      <c r="A39" s="75"/>
      <c r="B39" s="73"/>
      <c r="C39" s="73"/>
      <c r="D39" s="73"/>
      <c r="E39" s="73"/>
      <c r="F39" s="72"/>
      <c r="G39" s="72"/>
      <c r="H39" s="33"/>
      <c r="I39" s="73"/>
    </row>
    <row r="40" spans="1:9" s="83" customFormat="1" ht="20.100000000000001" customHeight="1" x14ac:dyDescent="0.25">
      <c r="A40" s="75"/>
      <c r="B40" s="73"/>
      <c r="C40" s="73"/>
      <c r="D40" s="73"/>
      <c r="E40" s="73"/>
      <c r="F40" s="72"/>
      <c r="G40" s="72"/>
      <c r="H40" s="33"/>
      <c r="I40" s="73"/>
    </row>
    <row r="41" spans="1:9" s="83" customFormat="1" ht="20.100000000000001" customHeight="1" x14ac:dyDescent="0.25">
      <c r="A41" s="75"/>
      <c r="B41" s="73"/>
      <c r="C41" s="73"/>
      <c r="D41" s="73"/>
      <c r="E41" s="73"/>
      <c r="F41" s="72"/>
      <c r="G41" s="72"/>
      <c r="H41" s="33"/>
      <c r="I41" s="73"/>
    </row>
    <row r="42" spans="1:9" s="83" customFormat="1" ht="20.100000000000001" customHeight="1" x14ac:dyDescent="0.25">
      <c r="A42" s="75"/>
      <c r="B42" s="73"/>
      <c r="C42" s="73"/>
      <c r="D42" s="73"/>
      <c r="E42" s="73"/>
      <c r="F42" s="72"/>
      <c r="G42" s="72"/>
      <c r="H42" s="33"/>
      <c r="I42" s="73"/>
    </row>
    <row r="43" spans="1:9" s="83" customFormat="1" ht="20.100000000000001" customHeight="1" x14ac:dyDescent="0.25">
      <c r="A43" s="75"/>
      <c r="B43" s="73"/>
      <c r="C43" s="73"/>
      <c r="D43" s="73"/>
      <c r="E43" s="73"/>
      <c r="F43" s="72"/>
      <c r="G43" s="72"/>
      <c r="H43" s="33"/>
      <c r="I43" s="73"/>
    </row>
    <row r="44" spans="1:9" s="83" customFormat="1" ht="20.100000000000001" customHeight="1" x14ac:dyDescent="0.25">
      <c r="A44" s="75"/>
      <c r="B44" s="73"/>
      <c r="C44" s="73"/>
      <c r="D44" s="73"/>
      <c r="E44" s="73"/>
      <c r="F44" s="72"/>
      <c r="G44" s="72"/>
      <c r="H44" s="33"/>
      <c r="I44" s="73"/>
    </row>
    <row r="45" spans="1:9" s="83" customFormat="1" ht="20.100000000000001" customHeight="1" x14ac:dyDescent="0.25">
      <c r="A45" s="75"/>
      <c r="B45" s="73"/>
      <c r="C45" s="73"/>
      <c r="D45" s="73"/>
      <c r="E45" s="73"/>
      <c r="F45" s="72"/>
      <c r="G45" s="72"/>
      <c r="H45" s="33"/>
      <c r="I45" s="73"/>
    </row>
    <row r="46" spans="1:9" s="83" customFormat="1" ht="20.100000000000001" customHeight="1" x14ac:dyDescent="0.25">
      <c r="A46" s="75"/>
      <c r="B46" s="73"/>
      <c r="C46" s="73"/>
      <c r="D46" s="73"/>
      <c r="E46" s="73"/>
      <c r="F46" s="72"/>
      <c r="G46" s="72"/>
      <c r="H46" s="33"/>
      <c r="I46" s="73"/>
    </row>
    <row r="47" spans="1:9" s="83" customFormat="1" ht="20.100000000000001" customHeight="1" x14ac:dyDescent="0.25">
      <c r="A47" s="75"/>
      <c r="B47" s="73"/>
      <c r="C47" s="73"/>
      <c r="D47" s="73"/>
      <c r="E47" s="73"/>
      <c r="F47" s="72"/>
      <c r="G47" s="72"/>
      <c r="H47" s="33"/>
      <c r="I47" s="73"/>
    </row>
    <row r="48" spans="1:9" s="83" customFormat="1" ht="20.100000000000001" customHeight="1" x14ac:dyDescent="0.25">
      <c r="A48" s="75"/>
      <c r="B48" s="73"/>
      <c r="C48" s="73"/>
      <c r="D48" s="73"/>
      <c r="E48" s="73"/>
      <c r="F48" s="72"/>
      <c r="G48" s="72"/>
      <c r="H48" s="33"/>
      <c r="I48" s="73"/>
    </row>
    <row r="49" spans="1:9" s="83" customFormat="1" ht="20.100000000000001" customHeight="1" x14ac:dyDescent="0.25">
      <c r="A49" s="75"/>
      <c r="B49" s="73"/>
      <c r="C49" s="73"/>
      <c r="D49" s="73"/>
      <c r="E49" s="73"/>
      <c r="F49" s="72"/>
      <c r="G49" s="72"/>
      <c r="H49" s="33"/>
      <c r="I49" s="73"/>
    </row>
    <row r="50" spans="1:9" s="83" customFormat="1" ht="20.100000000000001" customHeight="1" x14ac:dyDescent="0.25">
      <c r="A50" s="75"/>
      <c r="B50" s="73"/>
      <c r="C50" s="73"/>
      <c r="D50" s="73"/>
      <c r="E50" s="73"/>
      <c r="F50" s="72"/>
      <c r="G50" s="72"/>
      <c r="H50" s="33"/>
      <c r="I50" s="73"/>
    </row>
    <row r="51" spans="1:9" s="83" customFormat="1" ht="20.100000000000001" customHeight="1" x14ac:dyDescent="0.25">
      <c r="A51" s="75"/>
      <c r="B51" s="73"/>
      <c r="C51" s="73"/>
      <c r="D51" s="73"/>
      <c r="E51" s="73"/>
      <c r="F51" s="72"/>
      <c r="G51" s="72"/>
      <c r="H51" s="33"/>
      <c r="I51" s="73"/>
    </row>
    <row r="52" spans="1:9" s="83" customFormat="1" ht="20.100000000000001" customHeight="1" x14ac:dyDescent="0.25">
      <c r="A52" s="75"/>
      <c r="B52" s="73"/>
      <c r="C52" s="73"/>
      <c r="D52" s="73"/>
      <c r="E52" s="73"/>
      <c r="F52" s="72"/>
      <c r="G52" s="72"/>
      <c r="H52" s="33"/>
      <c r="I52" s="73"/>
    </row>
    <row r="53" spans="1:9" s="83" customFormat="1" ht="20.100000000000001" customHeight="1" x14ac:dyDescent="0.25">
      <c r="A53" s="75"/>
      <c r="B53" s="73"/>
      <c r="C53" s="73"/>
      <c r="D53" s="73"/>
      <c r="E53" s="73"/>
      <c r="F53" s="72"/>
      <c r="G53" s="72"/>
      <c r="H53" s="33"/>
      <c r="I53" s="73"/>
    </row>
    <row r="54" spans="1:9" s="83" customFormat="1" ht="20.100000000000001" customHeight="1" x14ac:dyDescent="0.25">
      <c r="A54" s="75"/>
      <c r="B54" s="73"/>
      <c r="C54" s="73"/>
      <c r="D54" s="73"/>
      <c r="E54" s="73"/>
      <c r="F54" s="72"/>
      <c r="G54" s="72"/>
      <c r="H54" s="33"/>
      <c r="I54" s="73"/>
    </row>
    <row r="55" spans="1:9" s="83" customFormat="1" ht="20.100000000000001" customHeight="1" x14ac:dyDescent="0.25">
      <c r="A55" s="75"/>
      <c r="B55" s="73"/>
      <c r="C55" s="73"/>
      <c r="D55" s="73"/>
      <c r="E55" s="73"/>
      <c r="F55" s="72"/>
      <c r="G55" s="72"/>
      <c r="H55" s="33"/>
      <c r="I55" s="73"/>
    </row>
    <row r="56" spans="1:9" s="83" customFormat="1" ht="20.100000000000001" customHeight="1" x14ac:dyDescent="0.25">
      <c r="A56" s="75"/>
      <c r="B56" s="73"/>
      <c r="C56" s="73"/>
      <c r="D56" s="73"/>
      <c r="E56" s="73"/>
      <c r="F56" s="72"/>
      <c r="G56" s="72"/>
      <c r="H56" s="33"/>
      <c r="I56" s="73"/>
    </row>
    <row r="57" spans="1:9" s="83" customFormat="1" ht="20.100000000000001" customHeight="1" x14ac:dyDescent="0.25">
      <c r="A57" s="75"/>
      <c r="B57" s="73"/>
      <c r="C57" s="73"/>
      <c r="D57" s="73"/>
      <c r="E57" s="73"/>
      <c r="F57" s="72"/>
      <c r="G57" s="72"/>
      <c r="H57" s="33"/>
      <c r="I57" s="73"/>
    </row>
    <row r="58" spans="1:9" s="83" customFormat="1" ht="20.100000000000001" customHeight="1" x14ac:dyDescent="0.25">
      <c r="A58" s="75"/>
      <c r="B58" s="73"/>
      <c r="C58" s="73"/>
      <c r="D58" s="73"/>
      <c r="E58" s="73"/>
      <c r="F58" s="72"/>
      <c r="G58" s="72"/>
      <c r="H58" s="33"/>
      <c r="I58" s="73"/>
    </row>
    <row r="59" spans="1:9" s="83" customFormat="1" ht="20.100000000000001" customHeight="1" x14ac:dyDescent="0.25">
      <c r="A59" s="75"/>
      <c r="B59" s="73"/>
      <c r="C59" s="73"/>
      <c r="D59" s="73"/>
      <c r="E59" s="73"/>
      <c r="F59" s="72"/>
      <c r="G59" s="72"/>
      <c r="H59" s="33"/>
      <c r="I59" s="73"/>
    </row>
    <row r="60" spans="1:9" s="83" customFormat="1" ht="20.100000000000001" customHeight="1" x14ac:dyDescent="0.25">
      <c r="A60" s="75"/>
      <c r="B60" s="73"/>
      <c r="C60" s="73"/>
      <c r="D60" s="73"/>
      <c r="E60" s="73"/>
      <c r="F60" s="72"/>
      <c r="G60" s="72"/>
      <c r="H60" s="33"/>
      <c r="I60" s="73"/>
    </row>
    <row r="61" spans="1:9" s="83" customFormat="1" ht="20.100000000000001" customHeight="1" x14ac:dyDescent="0.25">
      <c r="A61" s="75"/>
      <c r="B61" s="73"/>
      <c r="C61" s="73"/>
      <c r="D61" s="73"/>
      <c r="E61" s="73"/>
      <c r="F61" s="72"/>
      <c r="G61" s="72"/>
      <c r="H61" s="33"/>
      <c r="I61" s="73"/>
    </row>
    <row r="62" spans="1:9" s="83" customFormat="1" ht="20.100000000000001" customHeight="1" x14ac:dyDescent="0.25">
      <c r="A62" s="75"/>
      <c r="B62" s="73"/>
      <c r="C62" s="73"/>
      <c r="D62" s="73"/>
      <c r="E62" s="73"/>
      <c r="F62" s="72"/>
      <c r="G62" s="72"/>
      <c r="H62" s="33"/>
      <c r="I62" s="73"/>
    </row>
    <row r="63" spans="1:9" s="83" customFormat="1" ht="20.100000000000001" customHeight="1" x14ac:dyDescent="0.25">
      <c r="A63" s="75"/>
      <c r="B63" s="73"/>
      <c r="C63" s="73"/>
      <c r="D63" s="73"/>
      <c r="E63" s="73"/>
      <c r="F63" s="72"/>
      <c r="G63" s="72"/>
      <c r="H63" s="33"/>
      <c r="I63" s="73"/>
    </row>
    <row r="64" spans="1:9" s="83" customFormat="1" ht="20.100000000000001" customHeight="1" x14ac:dyDescent="0.25">
      <c r="A64" s="75"/>
      <c r="B64" s="73"/>
      <c r="C64" s="73"/>
      <c r="D64" s="73"/>
      <c r="E64" s="73"/>
      <c r="F64" s="72"/>
      <c r="G64" s="72"/>
      <c r="H64" s="33"/>
      <c r="I64" s="73"/>
    </row>
    <row r="65" spans="1:9" s="83" customFormat="1" ht="20.100000000000001" customHeight="1" x14ac:dyDescent="0.25">
      <c r="A65" s="75"/>
      <c r="B65" s="73"/>
      <c r="C65" s="73"/>
      <c r="D65" s="73"/>
      <c r="E65" s="73"/>
      <c r="F65" s="72"/>
      <c r="G65" s="72"/>
      <c r="H65" s="33"/>
      <c r="I65" s="73"/>
    </row>
    <row r="66" spans="1:9" s="83" customFormat="1" ht="20.100000000000001" customHeight="1" x14ac:dyDescent="0.25">
      <c r="A66" s="75"/>
      <c r="B66" s="73"/>
      <c r="C66" s="73"/>
      <c r="D66" s="73"/>
      <c r="E66" s="73"/>
      <c r="F66" s="72"/>
      <c r="G66" s="72"/>
      <c r="H66" s="33"/>
      <c r="I66" s="73"/>
    </row>
    <row r="67" spans="1:9" s="83" customFormat="1" ht="20.100000000000001" customHeight="1" x14ac:dyDescent="0.25">
      <c r="A67" s="75"/>
      <c r="B67" s="73"/>
      <c r="C67" s="73"/>
      <c r="D67" s="73"/>
      <c r="E67" s="73"/>
      <c r="F67" s="72"/>
      <c r="G67" s="72"/>
      <c r="H67" s="33"/>
      <c r="I67" s="73"/>
    </row>
    <row r="68" spans="1:9" s="83" customFormat="1" ht="20.100000000000001" customHeight="1" x14ac:dyDescent="0.25">
      <c r="A68" s="75"/>
      <c r="B68" s="73"/>
      <c r="C68" s="73"/>
      <c r="D68" s="73"/>
      <c r="E68" s="73"/>
      <c r="F68" s="72"/>
      <c r="G68" s="72"/>
      <c r="H68" s="33"/>
      <c r="I68" s="73"/>
    </row>
    <row r="69" spans="1:9" s="83" customFormat="1" ht="20.100000000000001" customHeight="1" x14ac:dyDescent="0.25">
      <c r="A69" s="75"/>
      <c r="B69" s="73"/>
      <c r="C69" s="73"/>
      <c r="D69" s="73"/>
      <c r="E69" s="73"/>
      <c r="F69" s="72"/>
      <c r="G69" s="72"/>
      <c r="H69" s="33"/>
      <c r="I69" s="73"/>
    </row>
    <row r="70" spans="1:9" s="83" customFormat="1" ht="20.100000000000001" customHeight="1" x14ac:dyDescent="0.25">
      <c r="A70" s="75"/>
      <c r="B70" s="73"/>
      <c r="C70" s="73"/>
      <c r="D70" s="73"/>
      <c r="E70" s="73"/>
      <c r="F70" s="72"/>
      <c r="G70" s="72"/>
      <c r="H70" s="33"/>
      <c r="I70" s="73"/>
    </row>
    <row r="71" spans="1:9" s="83" customFormat="1" ht="20.100000000000001" customHeight="1" x14ac:dyDescent="0.25">
      <c r="A71" s="75"/>
      <c r="B71" s="73"/>
      <c r="C71" s="73"/>
      <c r="D71" s="73"/>
      <c r="E71" s="73"/>
      <c r="F71" s="72"/>
      <c r="G71" s="72"/>
      <c r="H71" s="33"/>
      <c r="I71" s="73"/>
    </row>
    <row r="72" spans="1:9" s="83" customFormat="1" ht="20.100000000000001" customHeight="1" x14ac:dyDescent="0.25">
      <c r="A72" s="75"/>
      <c r="B72" s="73"/>
      <c r="C72" s="73"/>
      <c r="D72" s="73"/>
      <c r="E72" s="73"/>
      <c r="F72" s="72"/>
      <c r="G72" s="72"/>
      <c r="H72" s="33"/>
      <c r="I72" s="73"/>
    </row>
    <row r="73" spans="1:9" s="83" customFormat="1" ht="20.100000000000001" customHeight="1" x14ac:dyDescent="0.25">
      <c r="A73" s="75"/>
      <c r="B73" s="73"/>
      <c r="C73" s="73"/>
      <c r="D73" s="73"/>
      <c r="E73" s="73"/>
      <c r="F73" s="72"/>
      <c r="G73" s="72"/>
      <c r="H73" s="33"/>
      <c r="I73" s="73"/>
    </row>
    <row r="74" spans="1:9" s="83" customFormat="1" ht="20.100000000000001" customHeight="1" x14ac:dyDescent="0.25">
      <c r="A74" s="75"/>
      <c r="B74" s="73"/>
      <c r="C74" s="73"/>
      <c r="D74" s="73"/>
      <c r="E74" s="73"/>
      <c r="F74" s="72"/>
      <c r="G74" s="72"/>
      <c r="H74" s="33"/>
      <c r="I74" s="73"/>
    </row>
    <row r="75" spans="1:9" s="83" customFormat="1" ht="20.100000000000001" customHeight="1" x14ac:dyDescent="0.25">
      <c r="A75" s="75"/>
      <c r="B75" s="73"/>
      <c r="C75" s="73"/>
      <c r="D75" s="73"/>
      <c r="E75" s="73"/>
      <c r="F75" s="72"/>
      <c r="G75" s="72"/>
      <c r="H75" s="33"/>
      <c r="I75" s="73"/>
    </row>
    <row r="76" spans="1:9" s="83" customFormat="1" ht="20.100000000000001" customHeight="1" x14ac:dyDescent="0.25">
      <c r="A76" s="75"/>
      <c r="B76" s="73"/>
      <c r="C76" s="73"/>
      <c r="D76" s="73"/>
      <c r="E76" s="73"/>
      <c r="F76" s="72"/>
      <c r="G76" s="72"/>
      <c r="H76" s="33"/>
      <c r="I76" s="73"/>
    </row>
    <row r="77" spans="1:9" s="83" customFormat="1" ht="20.100000000000001" customHeight="1" x14ac:dyDescent="0.25">
      <c r="A77" s="75"/>
      <c r="B77" s="73"/>
      <c r="C77" s="73"/>
      <c r="D77" s="73"/>
      <c r="E77" s="73"/>
      <c r="F77" s="72"/>
      <c r="G77" s="72"/>
      <c r="H77" s="33"/>
      <c r="I77" s="73"/>
    </row>
    <row r="78" spans="1:9" s="83" customFormat="1" ht="20.100000000000001" customHeight="1" x14ac:dyDescent="0.25">
      <c r="A78" s="75"/>
      <c r="B78" s="73"/>
      <c r="C78" s="73"/>
      <c r="D78" s="73"/>
      <c r="E78" s="73"/>
      <c r="F78" s="72"/>
      <c r="G78" s="72"/>
      <c r="H78" s="33"/>
      <c r="I78" s="73"/>
    </row>
    <row r="79" spans="1:9" s="83" customFormat="1" ht="20.100000000000001" customHeight="1" x14ac:dyDescent="0.25">
      <c r="A79" s="75"/>
      <c r="B79" s="73"/>
      <c r="C79" s="73"/>
      <c r="D79" s="73"/>
      <c r="E79" s="73"/>
      <c r="F79" s="72"/>
      <c r="G79" s="72"/>
      <c r="H79" s="33"/>
      <c r="I79" s="73"/>
    </row>
    <row r="80" spans="1:9" s="83" customFormat="1" ht="20.100000000000001" customHeight="1" x14ac:dyDescent="0.25">
      <c r="A80" s="75"/>
      <c r="B80" s="73"/>
      <c r="C80" s="73"/>
      <c r="D80" s="73"/>
      <c r="E80" s="73"/>
      <c r="F80" s="72"/>
      <c r="G80" s="72"/>
      <c r="H80" s="33"/>
      <c r="I80" s="73"/>
    </row>
    <row r="81" spans="1:9" s="83" customFormat="1" ht="20.100000000000001" customHeight="1" x14ac:dyDescent="0.25">
      <c r="A81" s="75"/>
      <c r="B81" s="73"/>
      <c r="C81" s="73"/>
      <c r="D81" s="73"/>
      <c r="E81" s="73"/>
      <c r="F81" s="72"/>
      <c r="G81" s="72"/>
      <c r="H81" s="33"/>
      <c r="I81" s="73"/>
    </row>
    <row r="82" spans="1:9" s="83" customFormat="1" ht="20.100000000000001" customHeight="1" x14ac:dyDescent="0.25">
      <c r="A82" s="75"/>
      <c r="B82" s="73"/>
      <c r="C82" s="73"/>
      <c r="D82" s="73"/>
      <c r="E82" s="73"/>
      <c r="F82" s="72"/>
      <c r="G82" s="72"/>
      <c r="H82" s="33"/>
      <c r="I82" s="73"/>
    </row>
    <row r="83" spans="1:9" s="83" customFormat="1" ht="20.100000000000001" customHeight="1" x14ac:dyDescent="0.25">
      <c r="A83" s="75"/>
      <c r="B83" s="73"/>
      <c r="C83" s="73"/>
      <c r="D83" s="73"/>
      <c r="E83" s="73"/>
      <c r="F83" s="72"/>
      <c r="G83" s="72"/>
      <c r="H83" s="33"/>
      <c r="I83" s="73"/>
    </row>
    <row r="84" spans="1:9" s="83" customFormat="1" ht="20.100000000000001" customHeight="1" x14ac:dyDescent="0.25">
      <c r="A84" s="75"/>
      <c r="B84" s="73"/>
      <c r="C84" s="73"/>
      <c r="D84" s="73"/>
      <c r="E84" s="73"/>
      <c r="F84" s="72"/>
      <c r="G84" s="72"/>
      <c r="H84" s="33"/>
      <c r="I84" s="73"/>
    </row>
    <row r="85" spans="1:9" s="83" customFormat="1" ht="20.100000000000001" customHeight="1" x14ac:dyDescent="0.25">
      <c r="A85" s="75"/>
      <c r="B85" s="73"/>
      <c r="C85" s="73"/>
      <c r="D85" s="73"/>
      <c r="E85" s="73"/>
      <c r="F85" s="72"/>
      <c r="G85" s="72"/>
      <c r="H85" s="33"/>
      <c r="I85" s="73"/>
    </row>
    <row r="86" spans="1:9" s="83" customFormat="1" ht="20.100000000000001" customHeight="1" x14ac:dyDescent="0.25">
      <c r="A86" s="75"/>
      <c r="B86" s="73"/>
      <c r="C86" s="73"/>
      <c r="D86" s="73"/>
      <c r="E86" s="73"/>
      <c r="F86" s="72"/>
      <c r="G86" s="72"/>
      <c r="H86" s="33"/>
      <c r="I86" s="73"/>
    </row>
    <row r="87" spans="1:9" s="83" customFormat="1" ht="20.100000000000001" customHeight="1" x14ac:dyDescent="0.25">
      <c r="A87" s="75"/>
      <c r="B87" s="73"/>
      <c r="C87" s="73"/>
      <c r="D87" s="73"/>
      <c r="E87" s="73"/>
      <c r="F87" s="72"/>
      <c r="G87" s="72"/>
      <c r="H87" s="33"/>
      <c r="I87" s="73"/>
    </row>
    <row r="88" spans="1:9" s="83" customFormat="1" ht="20.100000000000001" customHeight="1" x14ac:dyDescent="0.25">
      <c r="A88" s="75"/>
      <c r="B88" s="73"/>
      <c r="C88" s="73"/>
      <c r="D88" s="73"/>
      <c r="E88" s="73"/>
      <c r="F88" s="72"/>
      <c r="G88" s="72"/>
      <c r="H88" s="33"/>
      <c r="I88" s="73"/>
    </row>
    <row r="89" spans="1:9" s="83" customFormat="1" ht="20.100000000000001" customHeight="1" x14ac:dyDescent="0.25">
      <c r="A89" s="75"/>
      <c r="B89" s="73"/>
      <c r="C89" s="73"/>
      <c r="D89" s="73"/>
      <c r="E89" s="73"/>
      <c r="F89" s="72"/>
      <c r="G89" s="72"/>
      <c r="H89" s="33"/>
      <c r="I89" s="73"/>
    </row>
    <row r="90" spans="1:9" s="83" customFormat="1" ht="20.100000000000001" customHeight="1" x14ac:dyDescent="0.25">
      <c r="A90" s="75"/>
      <c r="B90" s="73"/>
      <c r="C90" s="73"/>
      <c r="D90" s="73"/>
      <c r="E90" s="73"/>
      <c r="F90" s="72"/>
      <c r="G90" s="72"/>
      <c r="H90" s="33"/>
      <c r="I90" s="73"/>
    </row>
    <row r="91" spans="1:9" s="83" customFormat="1" ht="20.100000000000001" customHeight="1" x14ac:dyDescent="0.25">
      <c r="A91" s="75"/>
      <c r="B91" s="73"/>
      <c r="C91" s="73"/>
      <c r="D91" s="73"/>
      <c r="E91" s="73"/>
      <c r="F91" s="72"/>
      <c r="G91" s="72"/>
      <c r="H91" s="33"/>
      <c r="I91" s="73"/>
    </row>
    <row r="92" spans="1:9" s="83" customFormat="1" ht="20.100000000000001" customHeight="1" x14ac:dyDescent="0.25">
      <c r="A92" s="75"/>
      <c r="B92" s="73"/>
      <c r="C92" s="73"/>
      <c r="D92" s="73"/>
      <c r="E92" s="73"/>
      <c r="F92" s="72"/>
      <c r="G92" s="72"/>
      <c r="H92" s="33"/>
      <c r="I92" s="73"/>
    </row>
    <row r="93" spans="1:9" s="83" customFormat="1" ht="20.100000000000001" customHeight="1" x14ac:dyDescent="0.25">
      <c r="A93" s="75"/>
      <c r="B93" s="73"/>
      <c r="C93" s="73"/>
      <c r="D93" s="73"/>
      <c r="E93" s="73"/>
      <c r="F93" s="72"/>
      <c r="G93" s="72"/>
      <c r="H93" s="33"/>
      <c r="I93" s="73"/>
    </row>
    <row r="94" spans="1:9" s="83" customFormat="1" ht="20.100000000000001" customHeight="1" x14ac:dyDescent="0.25">
      <c r="A94" s="75"/>
      <c r="B94" s="73"/>
      <c r="C94" s="73"/>
      <c r="D94" s="73"/>
      <c r="E94" s="73"/>
      <c r="F94" s="72"/>
      <c r="G94" s="72"/>
      <c r="H94" s="33"/>
      <c r="I94" s="73"/>
    </row>
    <row r="95" spans="1:9" s="83" customFormat="1" ht="20.100000000000001" customHeight="1" x14ac:dyDescent="0.25">
      <c r="A95" s="75"/>
      <c r="B95" s="73"/>
      <c r="C95" s="73"/>
      <c r="D95" s="73"/>
      <c r="E95" s="73"/>
      <c r="F95" s="72"/>
      <c r="G95" s="72"/>
      <c r="H95" s="33"/>
      <c r="I95" s="73"/>
    </row>
    <row r="96" spans="1:9" s="83" customFormat="1" ht="20.100000000000001" customHeight="1" x14ac:dyDescent="0.25">
      <c r="A96" s="75"/>
      <c r="B96" s="73"/>
      <c r="C96" s="73"/>
      <c r="D96" s="73"/>
      <c r="E96" s="73"/>
      <c r="F96" s="72"/>
      <c r="G96" s="72"/>
      <c r="H96" s="33"/>
      <c r="I96" s="73"/>
    </row>
    <row r="97" spans="1:9" s="83" customFormat="1" ht="20.100000000000001" customHeight="1" x14ac:dyDescent="0.25">
      <c r="A97" s="75"/>
      <c r="B97" s="73"/>
      <c r="C97" s="73"/>
      <c r="D97" s="73"/>
      <c r="E97" s="73"/>
      <c r="F97" s="72"/>
      <c r="G97" s="72"/>
      <c r="H97" s="33"/>
      <c r="I97" s="73"/>
    </row>
    <row r="98" spans="1:9" s="83" customFormat="1" ht="20.100000000000001" customHeight="1" x14ac:dyDescent="0.25">
      <c r="A98" s="75"/>
      <c r="B98" s="73"/>
      <c r="C98" s="73"/>
      <c r="D98" s="73"/>
      <c r="E98" s="73"/>
      <c r="F98" s="72"/>
      <c r="G98" s="72"/>
      <c r="H98" s="33"/>
      <c r="I98" s="73"/>
    </row>
    <row r="99" spans="1:9" s="83" customFormat="1" ht="20.100000000000001" customHeight="1" x14ac:dyDescent="0.25">
      <c r="A99" s="75"/>
      <c r="B99" s="73"/>
      <c r="C99" s="73"/>
      <c r="D99" s="73"/>
      <c r="E99" s="73"/>
      <c r="F99" s="72"/>
      <c r="G99" s="72"/>
      <c r="H99" s="33"/>
      <c r="I99" s="73"/>
    </row>
    <row r="100" spans="1:9" s="83" customFormat="1" ht="20.100000000000001" customHeight="1" x14ac:dyDescent="0.25">
      <c r="A100" s="75"/>
      <c r="B100" s="73"/>
      <c r="C100" s="73"/>
      <c r="D100" s="73"/>
      <c r="E100" s="73"/>
      <c r="F100" s="72"/>
      <c r="G100" s="72"/>
      <c r="H100" s="33"/>
      <c r="I100" s="73"/>
    </row>
    <row r="101" spans="1:9" s="83" customFormat="1" ht="20.100000000000001" customHeight="1" x14ac:dyDescent="0.25">
      <c r="A101" s="75"/>
      <c r="B101" s="73"/>
      <c r="C101" s="73"/>
      <c r="D101" s="73"/>
      <c r="E101" s="73"/>
      <c r="F101" s="72"/>
      <c r="G101" s="72"/>
      <c r="H101" s="33"/>
      <c r="I101" s="73"/>
    </row>
    <row r="102" spans="1:9" s="83" customFormat="1" ht="20.100000000000001" customHeight="1" x14ac:dyDescent="0.25">
      <c r="A102" s="75"/>
      <c r="B102" s="73"/>
      <c r="C102" s="73"/>
      <c r="D102" s="73"/>
      <c r="E102" s="73"/>
      <c r="F102" s="72"/>
      <c r="G102" s="72"/>
      <c r="H102" s="33"/>
      <c r="I102" s="73"/>
    </row>
    <row r="103" spans="1:9" s="83" customFormat="1" ht="20.100000000000001" customHeight="1" x14ac:dyDescent="0.25">
      <c r="A103" s="75"/>
      <c r="B103" s="73"/>
      <c r="C103" s="73"/>
      <c r="D103" s="73"/>
      <c r="E103" s="73"/>
      <c r="F103" s="72"/>
      <c r="G103" s="72"/>
      <c r="H103" s="33"/>
      <c r="I103" s="73"/>
    </row>
    <row r="104" spans="1:9" s="83" customFormat="1" ht="20.100000000000001" customHeight="1" x14ac:dyDescent="0.25">
      <c r="A104" s="75"/>
      <c r="B104" s="73"/>
      <c r="C104" s="73"/>
      <c r="D104" s="73"/>
      <c r="E104" s="73"/>
      <c r="F104" s="72"/>
      <c r="G104" s="72"/>
      <c r="H104" s="33"/>
      <c r="I104" s="73"/>
    </row>
    <row r="105" spans="1:9" s="83" customFormat="1" ht="20.100000000000001" customHeight="1" x14ac:dyDescent="0.25">
      <c r="A105" s="75"/>
      <c r="B105" s="73"/>
      <c r="C105" s="73"/>
      <c r="D105" s="73"/>
      <c r="E105" s="73"/>
      <c r="F105" s="72"/>
      <c r="G105" s="72"/>
      <c r="H105" s="33"/>
      <c r="I105" s="73"/>
    </row>
    <row r="106" spans="1:9" s="83" customFormat="1" ht="20.100000000000001" customHeight="1" x14ac:dyDescent="0.25">
      <c r="A106" s="75"/>
      <c r="B106" s="73"/>
      <c r="C106" s="73"/>
      <c r="D106" s="73"/>
      <c r="E106" s="73"/>
      <c r="F106" s="72"/>
      <c r="G106" s="72"/>
      <c r="H106" s="33"/>
      <c r="I106" s="73"/>
    </row>
    <row r="107" spans="1:9" s="83" customFormat="1" ht="20.100000000000001" customHeight="1" x14ac:dyDescent="0.25">
      <c r="A107" s="75"/>
      <c r="B107" s="73"/>
      <c r="C107" s="73"/>
      <c r="D107" s="73"/>
      <c r="E107" s="73"/>
      <c r="F107" s="72"/>
      <c r="G107" s="72"/>
      <c r="H107" s="33"/>
      <c r="I107" s="73"/>
    </row>
    <row r="108" spans="1:9" s="83" customFormat="1" ht="20.100000000000001" customHeight="1" x14ac:dyDescent="0.25">
      <c r="A108" s="75"/>
      <c r="B108" s="73"/>
      <c r="C108" s="73"/>
      <c r="D108" s="73"/>
      <c r="E108" s="73"/>
      <c r="F108" s="72"/>
      <c r="G108" s="72"/>
      <c r="H108" s="33"/>
      <c r="I108" s="73"/>
    </row>
    <row r="109" spans="1:9" s="83" customFormat="1" ht="20.100000000000001" customHeight="1" x14ac:dyDescent="0.25">
      <c r="A109" s="75"/>
      <c r="B109" s="73"/>
      <c r="C109" s="73"/>
      <c r="D109" s="73"/>
      <c r="E109" s="73"/>
      <c r="F109" s="72"/>
      <c r="G109" s="72"/>
      <c r="H109" s="33"/>
      <c r="I109" s="73"/>
    </row>
    <row r="110" spans="1:9" s="83" customFormat="1" ht="20.100000000000001" customHeight="1" x14ac:dyDescent="0.25">
      <c r="A110" s="75"/>
      <c r="B110" s="73"/>
      <c r="C110" s="73"/>
      <c r="D110" s="73"/>
      <c r="E110" s="73"/>
      <c r="F110" s="72"/>
      <c r="G110" s="72"/>
      <c r="H110" s="33"/>
      <c r="I110" s="73"/>
    </row>
    <row r="111" spans="1:9" s="83" customFormat="1" ht="20.100000000000001" customHeight="1" x14ac:dyDescent="0.25">
      <c r="A111" s="75"/>
      <c r="B111" s="73"/>
      <c r="C111" s="73"/>
      <c r="D111" s="73"/>
      <c r="E111" s="73"/>
      <c r="F111" s="72"/>
      <c r="G111" s="72"/>
      <c r="H111" s="33"/>
      <c r="I111" s="73"/>
    </row>
    <row r="112" spans="1:9" s="83" customFormat="1" ht="20.100000000000001" customHeight="1" x14ac:dyDescent="0.25">
      <c r="A112" s="75"/>
      <c r="B112" s="73"/>
      <c r="C112" s="73"/>
      <c r="D112" s="73"/>
      <c r="E112" s="73"/>
      <c r="F112" s="72"/>
      <c r="G112" s="72"/>
      <c r="H112" s="33"/>
      <c r="I112" s="73"/>
    </row>
    <row r="113" spans="1:9" s="83" customFormat="1" ht="20.100000000000001" customHeight="1" x14ac:dyDescent="0.25">
      <c r="A113" s="75"/>
      <c r="B113" s="73"/>
      <c r="C113" s="73"/>
      <c r="D113" s="73"/>
      <c r="E113" s="73"/>
      <c r="F113" s="72"/>
      <c r="G113" s="72"/>
      <c r="H113" s="33"/>
      <c r="I113" s="73"/>
    </row>
    <row r="114" spans="1:9" s="83" customFormat="1" ht="20.100000000000001" customHeight="1" x14ac:dyDescent="0.25">
      <c r="A114" s="75"/>
      <c r="B114" s="73"/>
      <c r="C114" s="73"/>
      <c r="D114" s="73"/>
      <c r="E114" s="73"/>
      <c r="F114" s="72"/>
      <c r="G114" s="72"/>
      <c r="H114" s="33"/>
      <c r="I114" s="73"/>
    </row>
    <row r="115" spans="1:9" s="83" customFormat="1" ht="20.100000000000001" customHeight="1" x14ac:dyDescent="0.25">
      <c r="A115" s="75"/>
      <c r="B115" s="73"/>
      <c r="C115" s="73"/>
      <c r="D115" s="73"/>
      <c r="E115" s="73"/>
      <c r="F115" s="72"/>
      <c r="G115" s="72"/>
      <c r="H115" s="33"/>
      <c r="I115" s="73"/>
    </row>
    <row r="116" spans="1:9" s="83" customFormat="1" ht="20.100000000000001" customHeight="1" x14ac:dyDescent="0.25">
      <c r="A116" s="75"/>
      <c r="B116" s="73"/>
      <c r="C116" s="73"/>
      <c r="D116" s="73"/>
      <c r="E116" s="73"/>
      <c r="F116" s="72"/>
      <c r="G116" s="72"/>
      <c r="H116" s="33"/>
      <c r="I116" s="73"/>
    </row>
    <row r="117" spans="1:9" s="83" customFormat="1" ht="20.100000000000001" customHeight="1" x14ac:dyDescent="0.25">
      <c r="A117" s="75"/>
      <c r="B117" s="73"/>
      <c r="C117" s="73"/>
      <c r="D117" s="73"/>
      <c r="E117" s="73"/>
      <c r="F117" s="72"/>
      <c r="G117" s="72"/>
      <c r="H117" s="33"/>
      <c r="I117" s="73"/>
    </row>
    <row r="118" spans="1:9" s="83" customFormat="1" ht="20.100000000000001" customHeight="1" x14ac:dyDescent="0.25">
      <c r="A118" s="75"/>
      <c r="B118" s="73"/>
      <c r="C118" s="73"/>
      <c r="D118" s="73"/>
      <c r="E118" s="73"/>
      <c r="F118" s="72"/>
      <c r="G118" s="72"/>
      <c r="H118" s="33"/>
      <c r="I118" s="73"/>
    </row>
    <row r="119" spans="1:9" s="83" customFormat="1" ht="20.100000000000001" customHeight="1" x14ac:dyDescent="0.25">
      <c r="A119" s="75"/>
      <c r="B119" s="73"/>
      <c r="C119" s="73"/>
      <c r="D119" s="73"/>
      <c r="E119" s="73"/>
      <c r="F119" s="72"/>
      <c r="G119" s="72"/>
      <c r="H119" s="33"/>
      <c r="I119" s="73"/>
    </row>
    <row r="120" spans="1:9" s="83" customFormat="1" ht="20.100000000000001" customHeight="1" x14ac:dyDescent="0.25">
      <c r="A120" s="75"/>
      <c r="B120" s="73"/>
      <c r="C120" s="73"/>
      <c r="D120" s="73"/>
      <c r="E120" s="73"/>
      <c r="F120" s="72"/>
      <c r="G120" s="72"/>
      <c r="H120" s="33"/>
      <c r="I120" s="73"/>
    </row>
    <row r="121" spans="1:9" s="83" customFormat="1" ht="20.100000000000001" customHeight="1" x14ac:dyDescent="0.25">
      <c r="A121" s="75"/>
      <c r="B121" s="73"/>
      <c r="C121" s="73"/>
      <c r="D121" s="73"/>
      <c r="E121" s="73"/>
      <c r="F121" s="72"/>
      <c r="G121" s="72"/>
      <c r="H121" s="33"/>
      <c r="I121" s="73"/>
    </row>
    <row r="122" spans="1:9" s="83" customFormat="1" ht="20.100000000000001" customHeight="1" x14ac:dyDescent="0.25">
      <c r="A122" s="75"/>
      <c r="B122" s="73"/>
      <c r="C122" s="73"/>
      <c r="D122" s="73"/>
      <c r="E122" s="73"/>
      <c r="F122" s="72"/>
      <c r="G122" s="72"/>
      <c r="H122" s="33"/>
      <c r="I122" s="73"/>
    </row>
    <row r="123" spans="1:9" s="83" customFormat="1" ht="20.100000000000001" customHeight="1" x14ac:dyDescent="0.25">
      <c r="A123" s="75"/>
      <c r="B123" s="73"/>
      <c r="C123" s="73"/>
      <c r="D123" s="73"/>
      <c r="E123" s="73"/>
      <c r="F123" s="72"/>
      <c r="G123" s="72"/>
      <c r="H123" s="33"/>
      <c r="I123" s="73"/>
    </row>
    <row r="124" spans="1:9" s="83" customFormat="1" ht="20.100000000000001" customHeight="1" x14ac:dyDescent="0.25">
      <c r="A124" s="75"/>
      <c r="B124" s="73"/>
      <c r="C124" s="73"/>
      <c r="D124" s="73"/>
      <c r="E124" s="73"/>
      <c r="F124" s="72"/>
      <c r="G124" s="72"/>
      <c r="H124" s="33"/>
      <c r="I124" s="73"/>
    </row>
    <row r="125" spans="1:9" s="83" customFormat="1" ht="20.100000000000001" customHeight="1" x14ac:dyDescent="0.25">
      <c r="A125" s="75"/>
      <c r="B125" s="73"/>
      <c r="C125" s="73"/>
      <c r="D125" s="73"/>
      <c r="E125" s="73"/>
      <c r="F125" s="72"/>
      <c r="G125" s="72"/>
      <c r="H125" s="33"/>
      <c r="I125" s="73"/>
    </row>
    <row r="126" spans="1:9" s="83" customFormat="1" ht="20.100000000000001" customHeight="1" x14ac:dyDescent="0.25">
      <c r="A126" s="75"/>
      <c r="B126" s="73"/>
      <c r="C126" s="73"/>
      <c r="D126" s="73"/>
      <c r="E126" s="73"/>
      <c r="F126" s="72"/>
      <c r="G126" s="72"/>
      <c r="H126" s="33"/>
      <c r="I126" s="73"/>
    </row>
    <row r="127" spans="1:9" s="83" customFormat="1" ht="20.100000000000001" customHeight="1" x14ac:dyDescent="0.25">
      <c r="A127" s="75"/>
      <c r="B127" s="73"/>
      <c r="C127" s="73"/>
      <c r="D127" s="73"/>
      <c r="E127" s="73"/>
      <c r="F127" s="72"/>
      <c r="G127" s="72"/>
      <c r="H127" s="33"/>
      <c r="I127" s="73"/>
    </row>
    <row r="128" spans="1:9" s="83" customFormat="1" ht="20.100000000000001" customHeight="1" x14ac:dyDescent="0.25">
      <c r="A128" s="75"/>
      <c r="B128" s="73"/>
      <c r="C128" s="73"/>
      <c r="D128" s="73"/>
      <c r="E128" s="73"/>
      <c r="F128" s="72"/>
      <c r="G128" s="72"/>
      <c r="H128" s="33"/>
      <c r="I128" s="73"/>
    </row>
    <row r="129" spans="1:9" s="83" customFormat="1" ht="20.100000000000001" customHeight="1" x14ac:dyDescent="0.25">
      <c r="A129" s="75"/>
      <c r="B129" s="73"/>
      <c r="C129" s="73"/>
      <c r="D129" s="73"/>
      <c r="E129" s="73"/>
      <c r="F129" s="72"/>
      <c r="G129" s="72"/>
      <c r="H129" s="33"/>
      <c r="I129" s="73"/>
    </row>
    <row r="130" spans="1:9" s="83" customFormat="1" ht="20.100000000000001" customHeight="1" x14ac:dyDescent="0.25">
      <c r="A130" s="75"/>
      <c r="B130" s="73"/>
      <c r="C130" s="73"/>
      <c r="D130" s="73"/>
      <c r="E130" s="73"/>
      <c r="F130" s="72"/>
      <c r="G130" s="72"/>
      <c r="H130" s="33"/>
      <c r="I130" s="73"/>
    </row>
    <row r="131" spans="1:9" s="83" customFormat="1" ht="20.100000000000001" customHeight="1" x14ac:dyDescent="0.25">
      <c r="A131" s="75"/>
      <c r="B131" s="73"/>
      <c r="C131" s="73"/>
      <c r="D131" s="73"/>
      <c r="E131" s="73"/>
      <c r="F131" s="72"/>
      <c r="G131" s="72"/>
      <c r="H131" s="33"/>
      <c r="I131" s="73"/>
    </row>
    <row r="132" spans="1:9" s="83" customFormat="1" ht="20.100000000000001" customHeight="1" x14ac:dyDescent="0.25">
      <c r="A132" s="75"/>
      <c r="B132" s="73"/>
      <c r="C132" s="73"/>
      <c r="D132" s="73"/>
      <c r="E132" s="73"/>
      <c r="F132" s="72"/>
      <c r="G132" s="72"/>
      <c r="H132" s="33"/>
      <c r="I132" s="73"/>
    </row>
    <row r="133" spans="1:9" ht="20.100000000000001" customHeight="1" x14ac:dyDescent="0.25">
      <c r="A133" s="2"/>
      <c r="B133" s="2"/>
      <c r="C133" s="2"/>
      <c r="D133" s="2"/>
      <c r="E133" s="2"/>
      <c r="F133" s="4"/>
      <c r="G133" s="4"/>
      <c r="H133" s="3"/>
      <c r="I133" s="2"/>
    </row>
    <row r="134" spans="1:9" ht="20.100000000000001" customHeight="1" x14ac:dyDescent="0.25">
      <c r="A134" s="2"/>
      <c r="B134" s="2"/>
      <c r="C134" s="2"/>
      <c r="D134" s="2"/>
      <c r="E134" s="2"/>
      <c r="F134" s="4"/>
      <c r="G134" s="4"/>
      <c r="H134" s="3"/>
      <c r="I134" s="2"/>
    </row>
    <row r="135" spans="1:9" ht="20.100000000000001" customHeight="1" x14ac:dyDescent="0.25">
      <c r="A135" s="2"/>
      <c r="B135" s="2"/>
      <c r="C135" s="2"/>
      <c r="D135" s="2"/>
      <c r="E135" s="2"/>
      <c r="F135" s="4"/>
      <c r="G135" s="4"/>
      <c r="H135" s="3"/>
      <c r="I135" s="2"/>
    </row>
    <row r="136" spans="1:9" ht="20.100000000000001" customHeight="1" x14ac:dyDescent="0.25">
      <c r="A136" s="2"/>
      <c r="B136" s="2"/>
      <c r="C136" s="2"/>
      <c r="D136" s="2"/>
      <c r="E136" s="2"/>
      <c r="F136" s="4"/>
      <c r="G136" s="4"/>
      <c r="H136" s="3"/>
      <c r="I136" s="2"/>
    </row>
    <row r="138" spans="1:9" ht="20.100000000000001" customHeight="1" x14ac:dyDescent="0.25">
      <c r="A138" s="41" t="s">
        <v>63</v>
      </c>
      <c r="B138" s="42"/>
      <c r="C138" s="42"/>
      <c r="D138" s="42"/>
      <c r="E138" s="42"/>
      <c r="F138" s="42"/>
      <c r="G138" s="42"/>
      <c r="H138" s="42"/>
      <c r="I138" s="43"/>
    </row>
    <row r="139" spans="1:9" ht="15" customHeight="1" x14ac:dyDescent="0.25">
      <c r="A139" s="39" t="s">
        <v>177</v>
      </c>
      <c r="B139" s="35"/>
      <c r="C139" s="35"/>
      <c r="D139" s="35"/>
      <c r="E139" s="35"/>
      <c r="F139" s="35"/>
      <c r="G139" s="35"/>
      <c r="H139" s="35"/>
      <c r="I139" s="35"/>
    </row>
    <row r="140" spans="1:9" ht="15" customHeight="1" x14ac:dyDescent="0.25">
      <c r="A140" s="39" t="s">
        <v>196</v>
      </c>
      <c r="B140" s="35"/>
      <c r="C140" s="35"/>
      <c r="D140" s="35"/>
      <c r="E140" s="35"/>
      <c r="F140" s="35"/>
      <c r="G140" s="35"/>
      <c r="H140" s="35"/>
      <c r="I140" s="35"/>
    </row>
    <row r="142" spans="1:9" ht="15.95" customHeight="1" x14ac:dyDescent="0.25">
      <c r="A142" s="5"/>
      <c r="B142" s="6" t="s">
        <v>68</v>
      </c>
    </row>
    <row r="143" spans="1:9" ht="15.95" customHeight="1" x14ac:dyDescent="0.25">
      <c r="A143" s="7"/>
      <c r="B143" s="8" t="s">
        <v>69</v>
      </c>
    </row>
    <row r="144" spans="1:9" ht="15.95" customHeight="1" x14ac:dyDescent="0.25">
      <c r="A144" s="9"/>
      <c r="B144" s="10" t="s">
        <v>70</v>
      </c>
    </row>
    <row r="145" spans="1:2" ht="15.95" customHeight="1" x14ac:dyDescent="0.25">
      <c r="A145" s="11"/>
      <c r="B145" s="12" t="s">
        <v>71</v>
      </c>
    </row>
  </sheetData>
  <mergeCells count="5">
    <mergeCell ref="A139:I139"/>
    <mergeCell ref="A2:I2"/>
    <mergeCell ref="A138:I138"/>
    <mergeCell ref="A1:I1"/>
    <mergeCell ref="A140:I140"/>
  </mergeCells>
  <phoneticPr fontId="3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8"/>
  <sheetViews>
    <sheetView showGridLines="0" topLeftCell="A2" workbookViewId="0">
      <selection activeCell="S21" sqref="S21"/>
    </sheetView>
  </sheetViews>
  <sheetFormatPr defaultRowHeight="15" x14ac:dyDescent="0.25"/>
  <cols>
    <col min="1" max="1" width="8" customWidth="1"/>
    <col min="2" max="2" width="10" customWidth="1"/>
    <col min="3" max="3" width="49" customWidth="1"/>
    <col min="4" max="4" width="16" customWidth="1"/>
    <col min="5" max="5" width="12" customWidth="1"/>
    <col min="6" max="6" width="16" customWidth="1"/>
    <col min="7" max="7" width="20" customWidth="1"/>
    <col min="8" max="8" width="22" customWidth="1"/>
    <col min="9" max="9" width="14" customWidth="1"/>
  </cols>
  <sheetData>
    <row r="1" spans="1:9" ht="33.950000000000003" customHeight="1" x14ac:dyDescent="0.25">
      <c r="A1" s="44" t="s">
        <v>197</v>
      </c>
      <c r="B1" s="35"/>
      <c r="C1" s="35"/>
      <c r="D1" s="35"/>
      <c r="E1" s="35"/>
      <c r="F1" s="35"/>
      <c r="G1" s="35"/>
      <c r="H1" s="35"/>
      <c r="I1" s="35"/>
    </row>
    <row r="2" spans="1:9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9" ht="38.1" customHeight="1" x14ac:dyDescent="0.25">
      <c r="A3" s="1" t="s">
        <v>38</v>
      </c>
      <c r="B3" s="1" t="s">
        <v>117</v>
      </c>
      <c r="C3" s="1" t="s">
        <v>198</v>
      </c>
      <c r="D3" s="1" t="s">
        <v>199</v>
      </c>
      <c r="E3" s="29" t="s">
        <v>200</v>
      </c>
      <c r="F3" s="1" t="s">
        <v>201</v>
      </c>
      <c r="G3" s="1" t="s">
        <v>202</v>
      </c>
      <c r="H3" s="1" t="s">
        <v>184</v>
      </c>
      <c r="I3" s="1" t="s">
        <v>110</v>
      </c>
    </row>
    <row r="4" spans="1:9" ht="20.100000000000001" customHeight="1" x14ac:dyDescent="0.25">
      <c r="A4" s="22">
        <v>2023</v>
      </c>
      <c r="B4" s="2" t="s">
        <v>203</v>
      </c>
      <c r="C4" s="2" t="s">
        <v>375</v>
      </c>
      <c r="D4" s="2">
        <v>271305.70344656397</v>
      </c>
      <c r="E4" s="3" t="s">
        <v>190</v>
      </c>
      <c r="F4" s="2">
        <v>1</v>
      </c>
      <c r="G4" s="4">
        <v>0.24396019846995079</v>
      </c>
      <c r="H4" s="4" t="s">
        <v>191</v>
      </c>
      <c r="I4" s="33">
        <f>IF(D4=0,0,IF(OR(LOWER(E4)="usd",LOWER(E4)="$",ISNUMBER(SEARCH("usd",LOWER(E4)))),D4*G4/(F4*1000),IF(OR(LOWER(E4)="eur",E4="€"),D4*1.08*G4/(F4*1000),IF(OR(LOWER(E4)="gbp",E4="£"),D4*1.27*G4/(F4*1000),0))))</f>
        <v>66.187793258853361</v>
      </c>
    </row>
    <row r="5" spans="1:9" ht="20.100000000000001" customHeight="1" x14ac:dyDescent="0.25">
      <c r="A5" s="22">
        <v>2023</v>
      </c>
      <c r="B5" s="2" t="s">
        <v>204</v>
      </c>
      <c r="C5" s="2" t="s">
        <v>376</v>
      </c>
      <c r="D5" s="2">
        <v>34470.606804368763</v>
      </c>
      <c r="E5" s="3" t="s">
        <v>190</v>
      </c>
      <c r="F5" s="2">
        <v>1</v>
      </c>
      <c r="G5" s="4">
        <v>0.27599999999999991</v>
      </c>
      <c r="H5" s="4" t="s">
        <v>191</v>
      </c>
      <c r="I5" s="33">
        <f>IF(D5=0,0,IF(OR(LOWER(E5)="usd",LOWER(E5)="$",ISNUMBER(SEARCH("usd",LOWER(E5)))),D5*G5/(F5*1000),IF(OR(LOWER(E5)="eur",E5="€"),D5*1.08*G5/(F5*1000),IF(OR(LOWER(E5)="gbp",E5="£"),D5*1.27*G5/(F5*1000),0))))</f>
        <v>9.5138874780057758</v>
      </c>
    </row>
    <row r="6" spans="1:9" ht="20.100000000000001" customHeight="1" x14ac:dyDescent="0.25">
      <c r="A6" s="22">
        <v>2023</v>
      </c>
      <c r="B6" s="2" t="s">
        <v>205</v>
      </c>
      <c r="C6" s="2" t="s">
        <v>379</v>
      </c>
      <c r="D6" s="2">
        <v>73.715248525695031</v>
      </c>
      <c r="E6" s="3" t="s">
        <v>190</v>
      </c>
      <c r="F6" s="2">
        <v>1</v>
      </c>
      <c r="G6" s="4">
        <v>0.38700000000000001</v>
      </c>
      <c r="H6" s="4" t="s">
        <v>191</v>
      </c>
      <c r="I6" s="33">
        <f>IF(D6=0,0,IF(OR(LOWER(E6)="usd",LOWER(E6)="$",ISNUMBER(SEARCH("usd",LOWER(E6)))),D6*G6/(F6*1000),IF(OR(LOWER(E6)="eur",E6="€"),D6*1.08*G6/(F6*1000),IF(OR(LOWER(E6)="gbp",E6="£"),D6*1.27*G6/(F6*1000),0))))</f>
        <v>2.8527801179443976E-2</v>
      </c>
    </row>
    <row r="7" spans="1:9" ht="20.100000000000001" customHeight="1" x14ac:dyDescent="0.25">
      <c r="A7" s="22">
        <v>2023</v>
      </c>
      <c r="B7" s="2" t="s">
        <v>206</v>
      </c>
      <c r="C7" s="2" t="s">
        <v>461</v>
      </c>
      <c r="D7" s="2">
        <v>649.43021121675292</v>
      </c>
      <c r="E7" s="3" t="s">
        <v>190</v>
      </c>
      <c r="F7" s="2">
        <v>1</v>
      </c>
      <c r="G7" s="4">
        <v>0.26800000000000002</v>
      </c>
      <c r="H7" s="4" t="s">
        <v>191</v>
      </c>
      <c r="I7" s="33">
        <f>IF(D7=0,0,IF(OR(LOWER(E7)="usd",LOWER(E7)="$",ISNUMBER(SEARCH("usd",LOWER(E7)))),D7*G7/(F7*1000),IF(OR(LOWER(E7)="eur",E7="€"),D7*1.08*G7/(F7*1000),IF(OR(LOWER(E7)="gbp",E7="£"),D7*1.27*G7/(F7*1000),0))))</f>
        <v>0.17404729660608978</v>
      </c>
    </row>
    <row r="8" spans="1:9" s="91" customFormat="1" ht="20.100000000000001" customHeight="1" x14ac:dyDescent="0.25">
      <c r="A8" s="22">
        <v>2023</v>
      </c>
      <c r="B8" s="2" t="s">
        <v>454</v>
      </c>
      <c r="C8" s="73" t="s">
        <v>462</v>
      </c>
      <c r="D8" s="73">
        <v>2285.1403974605851</v>
      </c>
      <c r="E8" s="3" t="s">
        <v>190</v>
      </c>
      <c r="F8" s="2">
        <v>1</v>
      </c>
      <c r="G8" s="72">
        <v>0.27600000000000002</v>
      </c>
      <c r="H8" s="4" t="s">
        <v>191</v>
      </c>
      <c r="I8" s="33">
        <f t="shared" ref="I8:I14" si="0">IF(D8=0,0,IF(OR(LOWER(E8)="usd",LOWER(E8)="$",ISNUMBER(SEARCH("usd",LOWER(E8)))),D8*G8/(F8*1000),IF(OR(LOWER(E8)="eur",E8="€"),D8*1.08*G8/(F8*1000),IF(OR(LOWER(E8)="gbp",E8="£"),D8*1.27*G8/(F8*1000),0))))</f>
        <v>0.63069874969912154</v>
      </c>
    </row>
    <row r="9" spans="1:9" s="91" customFormat="1" ht="20.100000000000001" customHeight="1" x14ac:dyDescent="0.25">
      <c r="A9" s="22">
        <v>2023</v>
      </c>
      <c r="B9" s="2" t="s">
        <v>455</v>
      </c>
      <c r="C9" s="73" t="s">
        <v>385</v>
      </c>
      <c r="D9" s="73">
        <v>69447.770489830305</v>
      </c>
      <c r="E9" s="3" t="s">
        <v>190</v>
      </c>
      <c r="F9" s="2">
        <v>1</v>
      </c>
      <c r="G9" s="72">
        <v>0.30399758731618148</v>
      </c>
      <c r="H9" s="4" t="s">
        <v>191</v>
      </c>
      <c r="I9" s="33">
        <f t="shared" si="0"/>
        <v>21.111954673396323</v>
      </c>
    </row>
    <row r="10" spans="1:9" s="91" customFormat="1" ht="20.100000000000001" customHeight="1" x14ac:dyDescent="0.25">
      <c r="A10" s="22">
        <v>2023</v>
      </c>
      <c r="B10" s="2" t="s">
        <v>456</v>
      </c>
      <c r="C10" s="73" t="s">
        <v>463</v>
      </c>
      <c r="D10" s="73">
        <v>383200.18203153211</v>
      </c>
      <c r="E10" s="3" t="s">
        <v>190</v>
      </c>
      <c r="F10" s="2">
        <v>1</v>
      </c>
      <c r="G10" s="72">
        <v>0.46817731962041181</v>
      </c>
      <c r="H10" s="4" t="s">
        <v>191</v>
      </c>
      <c r="I10" s="33">
        <f t="shared" si="0"/>
        <v>179.4056341015766</v>
      </c>
    </row>
    <row r="11" spans="1:9" s="91" customFormat="1" ht="20.100000000000001" customHeight="1" x14ac:dyDescent="0.25">
      <c r="A11" s="22">
        <v>2023</v>
      </c>
      <c r="B11" s="2" t="s">
        <v>457</v>
      </c>
      <c r="C11" s="73" t="s">
        <v>395</v>
      </c>
      <c r="D11" s="73">
        <v>171968.45589120229</v>
      </c>
      <c r="E11" s="3" t="s">
        <v>190</v>
      </c>
      <c r="F11" s="2">
        <v>1</v>
      </c>
      <c r="G11" s="72">
        <v>0.4285038042094545</v>
      </c>
      <c r="H11" s="4" t="s">
        <v>191</v>
      </c>
      <c r="I11" s="33">
        <f t="shared" si="0"/>
        <v>73.689137553405956</v>
      </c>
    </row>
    <row r="12" spans="1:9" s="91" customFormat="1" ht="20.100000000000001" customHeight="1" x14ac:dyDescent="0.25">
      <c r="A12" s="22">
        <v>2023</v>
      </c>
      <c r="B12" s="2" t="s">
        <v>458</v>
      </c>
      <c r="C12" s="73" t="s">
        <v>401</v>
      </c>
      <c r="D12" s="73">
        <v>1974.5155855096884</v>
      </c>
      <c r="E12" s="3" t="s">
        <v>190</v>
      </c>
      <c r="F12" s="2">
        <v>1</v>
      </c>
      <c r="G12" s="72">
        <v>0.46699999999999997</v>
      </c>
      <c r="H12" s="4" t="s">
        <v>191</v>
      </c>
      <c r="I12" s="33">
        <f t="shared" si="0"/>
        <v>0.92209877843302446</v>
      </c>
    </row>
    <row r="13" spans="1:9" s="91" customFormat="1" ht="20.100000000000001" customHeight="1" x14ac:dyDescent="0.25">
      <c r="A13" s="22">
        <v>2023</v>
      </c>
      <c r="B13" s="2" t="s">
        <v>459</v>
      </c>
      <c r="C13" s="73" t="s">
        <v>411</v>
      </c>
      <c r="D13" s="73">
        <v>1123663.4351531474</v>
      </c>
      <c r="E13" s="3" t="s">
        <v>190</v>
      </c>
      <c r="F13" s="2">
        <v>1</v>
      </c>
      <c r="G13" s="72">
        <v>0.27602967861349603</v>
      </c>
      <c r="H13" s="4" t="s">
        <v>191</v>
      </c>
      <c r="I13" s="33">
        <f t="shared" si="0"/>
        <v>310.16445687506024</v>
      </c>
    </row>
    <row r="14" spans="1:9" s="91" customFormat="1" ht="20.100000000000001" customHeight="1" x14ac:dyDescent="0.25">
      <c r="A14" s="22">
        <v>2023</v>
      </c>
      <c r="B14" s="2" t="s">
        <v>460</v>
      </c>
      <c r="C14" s="73" t="s">
        <v>419</v>
      </c>
      <c r="D14" s="73">
        <v>47039.65015344807</v>
      </c>
      <c r="E14" s="3" t="s">
        <v>190</v>
      </c>
      <c r="F14" s="2">
        <v>1</v>
      </c>
      <c r="G14" s="72">
        <v>0.38843665840654312</v>
      </c>
      <c r="H14" s="4" t="s">
        <v>191</v>
      </c>
      <c r="I14" s="33">
        <f t="shared" si="0"/>
        <v>18.271924518218203</v>
      </c>
    </row>
    <row r="15" spans="1:9" s="91" customFormat="1" ht="20.100000000000001" customHeight="1" x14ac:dyDescent="0.25">
      <c r="A15" s="75"/>
      <c r="B15" s="73"/>
      <c r="C15" s="73"/>
      <c r="D15" s="73"/>
      <c r="E15" s="71"/>
      <c r="F15" s="73"/>
      <c r="G15" s="72"/>
      <c r="H15" s="72"/>
      <c r="I15" s="33"/>
    </row>
    <row r="16" spans="1:9" s="91" customFormat="1" ht="20.100000000000001" customHeight="1" x14ac:dyDescent="0.25">
      <c r="A16" s="22">
        <v>2024</v>
      </c>
      <c r="B16" s="2" t="s">
        <v>203</v>
      </c>
      <c r="C16" s="2" t="s">
        <v>375</v>
      </c>
      <c r="D16" s="80">
        <v>167092.03</v>
      </c>
      <c r="E16" s="3" t="s">
        <v>190</v>
      </c>
      <c r="F16" s="2">
        <v>1</v>
      </c>
      <c r="G16" s="4">
        <v>0.21</v>
      </c>
      <c r="H16" s="4" t="s">
        <v>191</v>
      </c>
      <c r="I16" s="33">
        <f>IF(D16=0,0,IF(OR(LOWER(E16)="usd",LOWER(E16)="$",ISNUMBER(SEARCH("usd",LOWER(E16)))),D16*G16/(F16*1000),IF(OR(LOWER(E16)="eur",E16="€"),D16*1.08*G16/(F16*1000),IF(OR(LOWER(E16)="gbp",E16="£"),D16*1.27*G16/(F16*1000),0))))</f>
        <v>35.089326300000003</v>
      </c>
    </row>
    <row r="17" spans="1:9" s="91" customFormat="1" ht="20.100000000000001" customHeight="1" x14ac:dyDescent="0.25">
      <c r="A17" s="22">
        <v>2024</v>
      </c>
      <c r="B17" s="2" t="s">
        <v>204</v>
      </c>
      <c r="C17" s="2" t="s">
        <v>463</v>
      </c>
      <c r="D17" s="80">
        <v>602898.30000000005</v>
      </c>
      <c r="E17" s="3" t="s">
        <v>190</v>
      </c>
      <c r="F17" s="2">
        <v>1</v>
      </c>
      <c r="G17" s="4">
        <v>0.37</v>
      </c>
      <c r="H17" s="4" t="s">
        <v>191</v>
      </c>
      <c r="I17" s="33">
        <f>IF(D17=0,0,IF(OR(LOWER(E17)="usd",LOWER(E17)="$",ISNUMBER(SEARCH("usd",LOWER(E17)))),D17*G17/(F17*1000),IF(OR(LOWER(E17)="eur",E17="€"),D17*1.08*G17/(F17*1000),IF(OR(LOWER(E17)="gbp",E17="£"),D17*1.27*G17/(F17*1000),0))))</f>
        <v>223.072371</v>
      </c>
    </row>
    <row r="18" spans="1:9" s="91" customFormat="1" ht="20.100000000000001" customHeight="1" x14ac:dyDescent="0.25">
      <c r="A18" s="75"/>
      <c r="B18" s="73"/>
      <c r="C18" s="73"/>
      <c r="D18" s="73"/>
      <c r="E18" s="71"/>
      <c r="F18" s="73"/>
      <c r="G18" s="72"/>
      <c r="H18" s="72"/>
      <c r="I18" s="33"/>
    </row>
    <row r="19" spans="1:9" s="91" customFormat="1" ht="20.100000000000001" customHeight="1" x14ac:dyDescent="0.25">
      <c r="A19" s="75"/>
      <c r="B19" s="73"/>
      <c r="C19" s="73"/>
      <c r="D19" s="73"/>
      <c r="E19" s="71"/>
      <c r="F19" s="73"/>
      <c r="G19" s="72"/>
      <c r="H19" s="72"/>
      <c r="I19" s="33"/>
    </row>
    <row r="20" spans="1:9" s="91" customFormat="1" ht="20.100000000000001" customHeight="1" x14ac:dyDescent="0.25">
      <c r="A20" s="75"/>
      <c r="B20" s="73"/>
      <c r="C20" s="73"/>
      <c r="D20" s="73"/>
      <c r="E20" s="71"/>
      <c r="F20" s="73"/>
      <c r="G20" s="72"/>
      <c r="H20" s="72"/>
      <c r="I20" s="33"/>
    </row>
    <row r="21" spans="1:9" s="91" customFormat="1" ht="20.100000000000001" customHeight="1" x14ac:dyDescent="0.25">
      <c r="A21" s="75"/>
      <c r="B21" s="73"/>
      <c r="C21" s="73"/>
      <c r="D21" s="73"/>
      <c r="E21" s="71"/>
      <c r="F21" s="73"/>
      <c r="G21" s="72"/>
      <c r="H21" s="72"/>
      <c r="I21" s="33"/>
    </row>
    <row r="22" spans="1:9" s="91" customFormat="1" ht="20.100000000000001" customHeight="1" x14ac:dyDescent="0.25">
      <c r="A22" s="75"/>
      <c r="B22" s="73"/>
      <c r="C22" s="73"/>
      <c r="D22" s="73"/>
      <c r="E22" s="71"/>
      <c r="F22" s="73"/>
      <c r="G22" s="72"/>
      <c r="H22" s="72"/>
      <c r="I22" s="33"/>
    </row>
    <row r="23" spans="1:9" s="91" customFormat="1" ht="20.100000000000001" customHeight="1" x14ac:dyDescent="0.25">
      <c r="A23" s="75"/>
      <c r="B23" s="73"/>
      <c r="C23" s="73"/>
      <c r="D23" s="73"/>
      <c r="E23" s="71"/>
      <c r="F23" s="73"/>
      <c r="G23" s="72"/>
      <c r="H23" s="72"/>
      <c r="I23" s="33"/>
    </row>
    <row r="24" spans="1:9" s="91" customFormat="1" ht="20.100000000000001" customHeight="1" x14ac:dyDescent="0.25">
      <c r="A24" s="75"/>
      <c r="B24" s="73"/>
      <c r="C24" s="73"/>
      <c r="D24" s="73"/>
      <c r="E24" s="71"/>
      <c r="F24" s="73"/>
      <c r="G24" s="72"/>
      <c r="H24" s="72"/>
      <c r="I24" s="33"/>
    </row>
    <row r="25" spans="1:9" s="91" customFormat="1" ht="20.100000000000001" customHeight="1" x14ac:dyDescent="0.25">
      <c r="A25" s="75"/>
      <c r="B25" s="73"/>
      <c r="C25" s="73"/>
      <c r="D25" s="73"/>
      <c r="E25" s="71"/>
      <c r="F25" s="73"/>
      <c r="G25" s="72"/>
      <c r="H25" s="72"/>
      <c r="I25" s="33"/>
    </row>
    <row r="26" spans="1:9" s="91" customFormat="1" ht="20.100000000000001" customHeight="1" x14ac:dyDescent="0.25">
      <c r="A26" s="75"/>
      <c r="B26" s="73"/>
      <c r="C26" s="73"/>
      <c r="D26" s="73"/>
      <c r="E26" s="71"/>
      <c r="F26" s="73"/>
      <c r="G26" s="72"/>
      <c r="H26" s="72"/>
      <c r="I26" s="33"/>
    </row>
    <row r="27" spans="1:9" s="91" customFormat="1" ht="20.100000000000001" customHeight="1" x14ac:dyDescent="0.25">
      <c r="A27" s="75"/>
      <c r="B27" s="73"/>
      <c r="C27" s="73"/>
      <c r="D27" s="73"/>
      <c r="E27" s="71"/>
      <c r="F27" s="73"/>
      <c r="G27" s="72"/>
      <c r="H27" s="72"/>
      <c r="I27" s="33"/>
    </row>
    <row r="28" spans="1:9" s="91" customFormat="1" ht="20.100000000000001" customHeight="1" x14ac:dyDescent="0.25">
      <c r="A28" s="75"/>
      <c r="B28" s="73"/>
      <c r="C28" s="73"/>
      <c r="D28" s="73"/>
      <c r="E28" s="71"/>
      <c r="F28" s="73"/>
      <c r="G28" s="72"/>
      <c r="H28" s="72"/>
      <c r="I28" s="33"/>
    </row>
    <row r="29" spans="1:9" s="91" customFormat="1" ht="20.100000000000001" customHeight="1" x14ac:dyDescent="0.25">
      <c r="A29" s="75"/>
      <c r="B29" s="73"/>
      <c r="C29" s="73"/>
      <c r="D29" s="73"/>
      <c r="E29" s="71"/>
      <c r="F29" s="73"/>
      <c r="G29" s="72"/>
      <c r="H29" s="72"/>
      <c r="I29" s="33"/>
    </row>
    <row r="30" spans="1:9" s="91" customFormat="1" ht="20.100000000000001" customHeight="1" x14ac:dyDescent="0.25">
      <c r="A30" s="75"/>
      <c r="B30" s="73"/>
      <c r="C30" s="73"/>
      <c r="D30" s="73"/>
      <c r="E30" s="71"/>
      <c r="F30" s="73"/>
      <c r="G30" s="72"/>
      <c r="H30" s="72"/>
      <c r="I30" s="33"/>
    </row>
    <row r="31" spans="1:9" s="91" customFormat="1" ht="20.100000000000001" customHeight="1" x14ac:dyDescent="0.25">
      <c r="A31" s="75"/>
      <c r="B31" s="73"/>
      <c r="C31" s="73"/>
      <c r="D31" s="73"/>
      <c r="E31" s="71"/>
      <c r="F31" s="73"/>
      <c r="G31" s="72"/>
      <c r="H31" s="72"/>
      <c r="I31" s="33"/>
    </row>
    <row r="32" spans="1:9" s="91" customFormat="1" ht="20.100000000000001" customHeight="1" x14ac:dyDescent="0.25">
      <c r="A32" s="75"/>
      <c r="B32" s="73"/>
      <c r="C32" s="73"/>
      <c r="D32" s="73"/>
      <c r="E32" s="71"/>
      <c r="F32" s="73"/>
      <c r="G32" s="72"/>
      <c r="H32" s="72"/>
      <c r="I32" s="33"/>
    </row>
    <row r="33" spans="1:9" s="91" customFormat="1" ht="20.100000000000001" customHeight="1" x14ac:dyDescent="0.25">
      <c r="A33" s="75"/>
      <c r="B33" s="73"/>
      <c r="C33" s="73"/>
      <c r="D33" s="73"/>
      <c r="E33" s="71"/>
      <c r="F33" s="73"/>
      <c r="G33" s="72"/>
      <c r="H33" s="72"/>
      <c r="I33" s="33"/>
    </row>
    <row r="34" spans="1:9" s="91" customFormat="1" ht="20.100000000000001" customHeight="1" x14ac:dyDescent="0.25">
      <c r="A34" s="75"/>
      <c r="B34" s="73"/>
      <c r="C34" s="73"/>
      <c r="D34" s="73"/>
      <c r="E34" s="71"/>
      <c r="F34" s="73"/>
      <c r="G34" s="72"/>
      <c r="H34" s="72"/>
      <c r="I34" s="33"/>
    </row>
    <row r="35" spans="1:9" s="91" customFormat="1" ht="20.100000000000001" customHeight="1" x14ac:dyDescent="0.25">
      <c r="A35" s="75"/>
      <c r="B35" s="73"/>
      <c r="C35" s="73"/>
      <c r="D35" s="73"/>
      <c r="E35" s="71"/>
      <c r="F35" s="73"/>
      <c r="G35" s="72"/>
      <c r="H35" s="72"/>
      <c r="I35" s="33"/>
    </row>
    <row r="36" spans="1:9" s="91" customFormat="1" ht="20.100000000000001" customHeight="1" x14ac:dyDescent="0.25">
      <c r="A36" s="75"/>
      <c r="B36" s="73"/>
      <c r="C36" s="73"/>
      <c r="D36" s="73"/>
      <c r="E36" s="71"/>
      <c r="F36" s="73"/>
      <c r="G36" s="72"/>
      <c r="H36" s="72"/>
      <c r="I36" s="33"/>
    </row>
    <row r="37" spans="1:9" s="91" customFormat="1" ht="20.100000000000001" customHeight="1" x14ac:dyDescent="0.25">
      <c r="A37" s="75"/>
      <c r="B37" s="73"/>
      <c r="C37" s="73"/>
      <c r="D37" s="73"/>
      <c r="E37" s="71"/>
      <c r="F37" s="73"/>
      <c r="G37" s="72"/>
      <c r="H37" s="72"/>
      <c r="I37" s="33"/>
    </row>
    <row r="38" spans="1:9" s="91" customFormat="1" ht="20.100000000000001" customHeight="1" x14ac:dyDescent="0.25">
      <c r="A38" s="75"/>
      <c r="B38" s="73"/>
      <c r="C38" s="73"/>
      <c r="D38" s="73"/>
      <c r="E38" s="71"/>
      <c r="F38" s="73"/>
      <c r="G38" s="72"/>
      <c r="H38" s="72"/>
      <c r="I38" s="33"/>
    </row>
    <row r="39" spans="1:9" s="91" customFormat="1" ht="20.100000000000001" customHeight="1" x14ac:dyDescent="0.25">
      <c r="A39" s="75"/>
      <c r="B39" s="73"/>
      <c r="C39" s="73"/>
      <c r="D39" s="73"/>
      <c r="E39" s="71"/>
      <c r="F39" s="73"/>
      <c r="G39" s="72"/>
      <c r="H39" s="72"/>
      <c r="I39" s="33"/>
    </row>
    <row r="40" spans="1:9" s="91" customFormat="1" ht="20.100000000000001" customHeight="1" x14ac:dyDescent="0.25">
      <c r="A40" s="75"/>
      <c r="B40" s="73"/>
      <c r="C40" s="73"/>
      <c r="D40" s="73"/>
      <c r="E40" s="71"/>
      <c r="F40" s="73"/>
      <c r="G40" s="72"/>
      <c r="H40" s="72"/>
      <c r="I40" s="33"/>
    </row>
    <row r="41" spans="1:9" s="91" customFormat="1" ht="20.100000000000001" customHeight="1" x14ac:dyDescent="0.25">
      <c r="A41" s="75"/>
      <c r="B41" s="73"/>
      <c r="C41" s="73"/>
      <c r="D41" s="73"/>
      <c r="E41" s="71"/>
      <c r="F41" s="73"/>
      <c r="G41" s="72"/>
      <c r="H41" s="72"/>
      <c r="I41" s="33"/>
    </row>
    <row r="42" spans="1:9" s="91" customFormat="1" ht="20.100000000000001" customHeight="1" x14ac:dyDescent="0.25">
      <c r="A42" s="75"/>
      <c r="B42" s="73"/>
      <c r="C42" s="73"/>
      <c r="D42" s="73"/>
      <c r="E42" s="71"/>
      <c r="F42" s="73"/>
      <c r="G42" s="72"/>
      <c r="H42" s="72"/>
      <c r="I42" s="33"/>
    </row>
    <row r="43" spans="1:9" s="91" customFormat="1" ht="20.100000000000001" customHeight="1" x14ac:dyDescent="0.25">
      <c r="A43" s="75"/>
      <c r="B43" s="73"/>
      <c r="C43" s="73"/>
      <c r="D43" s="73"/>
      <c r="E43" s="71"/>
      <c r="F43" s="73"/>
      <c r="G43" s="72"/>
      <c r="H43" s="72"/>
      <c r="I43" s="33"/>
    </row>
    <row r="44" spans="1:9" s="91" customFormat="1" ht="20.100000000000001" customHeight="1" x14ac:dyDescent="0.25">
      <c r="A44" s="75"/>
      <c r="B44" s="73"/>
      <c r="C44" s="73"/>
      <c r="D44" s="73"/>
      <c r="E44" s="71"/>
      <c r="F44" s="73"/>
      <c r="G44" s="72"/>
      <c r="H44" s="72"/>
      <c r="I44" s="33"/>
    </row>
    <row r="45" spans="1:9" s="91" customFormat="1" ht="20.100000000000001" customHeight="1" x14ac:dyDescent="0.25">
      <c r="A45" s="75"/>
      <c r="B45" s="73"/>
      <c r="C45" s="73"/>
      <c r="D45" s="73"/>
      <c r="E45" s="71"/>
      <c r="F45" s="73"/>
      <c r="G45" s="72"/>
      <c r="H45" s="72"/>
      <c r="I45" s="33"/>
    </row>
    <row r="46" spans="1:9" s="91" customFormat="1" ht="20.100000000000001" customHeight="1" x14ac:dyDescent="0.25">
      <c r="A46" s="75"/>
      <c r="B46" s="73"/>
      <c r="C46" s="73"/>
      <c r="D46" s="73"/>
      <c r="E46" s="71"/>
      <c r="F46" s="73"/>
      <c r="G46" s="72"/>
      <c r="H46" s="72"/>
      <c r="I46" s="33"/>
    </row>
    <row r="47" spans="1:9" s="91" customFormat="1" ht="20.100000000000001" customHeight="1" x14ac:dyDescent="0.25">
      <c r="A47" s="75"/>
      <c r="B47" s="73"/>
      <c r="C47" s="73"/>
      <c r="D47" s="73"/>
      <c r="E47" s="71"/>
      <c r="F47" s="73"/>
      <c r="G47" s="72"/>
      <c r="H47" s="72"/>
      <c r="I47" s="33"/>
    </row>
    <row r="48" spans="1:9" s="91" customFormat="1" ht="20.100000000000001" customHeight="1" x14ac:dyDescent="0.25">
      <c r="A48" s="75"/>
      <c r="B48" s="73"/>
      <c r="C48" s="73"/>
      <c r="D48" s="73"/>
      <c r="E48" s="71"/>
      <c r="F48" s="73"/>
      <c r="G48" s="72"/>
      <c r="H48" s="72"/>
      <c r="I48" s="33"/>
    </row>
    <row r="49" spans="1:9" s="91" customFormat="1" ht="20.100000000000001" customHeight="1" x14ac:dyDescent="0.25">
      <c r="A49" s="75"/>
      <c r="B49" s="73"/>
      <c r="C49" s="73"/>
      <c r="D49" s="73"/>
      <c r="E49" s="71"/>
      <c r="F49" s="73"/>
      <c r="G49" s="72"/>
      <c r="H49" s="72"/>
      <c r="I49" s="33"/>
    </row>
    <row r="50" spans="1:9" s="91" customFormat="1" ht="20.100000000000001" customHeight="1" x14ac:dyDescent="0.25">
      <c r="A50" s="75"/>
      <c r="B50" s="73"/>
      <c r="C50" s="73"/>
      <c r="D50" s="73"/>
      <c r="E50" s="71"/>
      <c r="F50" s="73"/>
      <c r="G50" s="72"/>
      <c r="H50" s="72"/>
      <c r="I50" s="33"/>
    </row>
    <row r="51" spans="1:9" s="91" customFormat="1" ht="20.100000000000001" customHeight="1" x14ac:dyDescent="0.25">
      <c r="A51" s="75"/>
      <c r="B51" s="73"/>
      <c r="C51" s="73"/>
      <c r="D51" s="73"/>
      <c r="E51" s="71"/>
      <c r="F51" s="73"/>
      <c r="G51" s="72"/>
      <c r="H51" s="72"/>
      <c r="I51" s="33"/>
    </row>
    <row r="52" spans="1:9" s="91" customFormat="1" ht="20.100000000000001" customHeight="1" x14ac:dyDescent="0.25">
      <c r="A52" s="75"/>
      <c r="B52" s="73"/>
      <c r="C52" s="73"/>
      <c r="D52" s="73"/>
      <c r="E52" s="71"/>
      <c r="F52" s="73"/>
      <c r="G52" s="72"/>
      <c r="H52" s="72"/>
      <c r="I52" s="33"/>
    </row>
    <row r="53" spans="1:9" s="91" customFormat="1" ht="20.100000000000001" customHeight="1" x14ac:dyDescent="0.25">
      <c r="A53" s="75"/>
      <c r="B53" s="73"/>
      <c r="C53" s="73"/>
      <c r="D53" s="73"/>
      <c r="E53" s="71"/>
      <c r="F53" s="73"/>
      <c r="G53" s="72"/>
      <c r="H53" s="72"/>
      <c r="I53" s="33"/>
    </row>
    <row r="54" spans="1:9" s="91" customFormat="1" ht="20.100000000000001" customHeight="1" x14ac:dyDescent="0.25">
      <c r="A54" s="75"/>
      <c r="B54" s="73"/>
      <c r="C54" s="73"/>
      <c r="D54" s="73"/>
      <c r="E54" s="71"/>
      <c r="F54" s="73"/>
      <c r="G54" s="72"/>
      <c r="H54" s="72"/>
      <c r="I54" s="33"/>
    </row>
    <row r="55" spans="1:9" s="91" customFormat="1" ht="20.100000000000001" customHeight="1" x14ac:dyDescent="0.25">
      <c r="A55" s="75"/>
      <c r="B55" s="73"/>
      <c r="C55" s="73"/>
      <c r="D55" s="73"/>
      <c r="E55" s="71"/>
      <c r="F55" s="73"/>
      <c r="G55" s="72"/>
      <c r="H55" s="72"/>
      <c r="I55" s="33"/>
    </row>
    <row r="56" spans="1:9" s="91" customFormat="1" ht="20.100000000000001" customHeight="1" x14ac:dyDescent="0.25">
      <c r="A56" s="75"/>
      <c r="B56" s="73"/>
      <c r="C56" s="73"/>
      <c r="D56" s="73"/>
      <c r="E56" s="71"/>
      <c r="F56" s="73"/>
      <c r="G56" s="72"/>
      <c r="H56" s="72"/>
      <c r="I56" s="33"/>
    </row>
    <row r="57" spans="1:9" s="91" customFormat="1" ht="20.100000000000001" customHeight="1" x14ac:dyDescent="0.25">
      <c r="A57" s="75"/>
      <c r="B57" s="73"/>
      <c r="C57" s="73"/>
      <c r="D57" s="73"/>
      <c r="E57" s="71"/>
      <c r="F57" s="73"/>
      <c r="G57" s="72"/>
      <c r="H57" s="72"/>
      <c r="I57" s="33"/>
    </row>
    <row r="58" spans="1:9" s="91" customFormat="1" ht="20.100000000000001" customHeight="1" x14ac:dyDescent="0.25">
      <c r="A58" s="75"/>
      <c r="B58" s="73"/>
      <c r="C58" s="73"/>
      <c r="D58" s="73"/>
      <c r="E58" s="71"/>
      <c r="F58" s="73"/>
      <c r="G58" s="72"/>
      <c r="H58" s="72"/>
      <c r="I58" s="33"/>
    </row>
    <row r="59" spans="1:9" s="91" customFormat="1" ht="20.100000000000001" customHeight="1" x14ac:dyDescent="0.25">
      <c r="A59" s="75"/>
      <c r="B59" s="73"/>
      <c r="C59" s="73"/>
      <c r="D59" s="73"/>
      <c r="E59" s="71"/>
      <c r="F59" s="73"/>
      <c r="G59" s="72"/>
      <c r="H59" s="72"/>
      <c r="I59" s="33"/>
    </row>
    <row r="60" spans="1:9" s="91" customFormat="1" ht="20.100000000000001" customHeight="1" x14ac:dyDescent="0.25">
      <c r="A60" s="75"/>
      <c r="B60" s="73"/>
      <c r="C60" s="73"/>
      <c r="D60" s="73"/>
      <c r="E60" s="71"/>
      <c r="F60" s="73"/>
      <c r="G60" s="72"/>
      <c r="H60" s="72"/>
      <c r="I60" s="33"/>
    </row>
    <row r="61" spans="1:9" s="91" customFormat="1" ht="20.100000000000001" customHeight="1" x14ac:dyDescent="0.25">
      <c r="A61" s="75"/>
      <c r="B61" s="73"/>
      <c r="C61" s="73"/>
      <c r="D61" s="73"/>
      <c r="E61" s="71"/>
      <c r="F61" s="73"/>
      <c r="G61" s="72"/>
      <c r="H61" s="72"/>
      <c r="I61" s="33"/>
    </row>
    <row r="62" spans="1:9" s="91" customFormat="1" ht="20.100000000000001" customHeight="1" x14ac:dyDescent="0.25">
      <c r="A62" s="75"/>
      <c r="B62" s="73"/>
      <c r="C62" s="73"/>
      <c r="D62" s="73"/>
      <c r="E62" s="71"/>
      <c r="F62" s="73"/>
      <c r="G62" s="72"/>
      <c r="H62" s="72"/>
      <c r="I62" s="33"/>
    </row>
    <row r="63" spans="1:9" s="91" customFormat="1" ht="20.100000000000001" customHeight="1" x14ac:dyDescent="0.25">
      <c r="A63" s="75"/>
      <c r="B63" s="73"/>
      <c r="C63" s="73"/>
      <c r="D63" s="73"/>
      <c r="E63" s="71"/>
      <c r="F63" s="73"/>
      <c r="G63" s="72"/>
      <c r="H63" s="72"/>
      <c r="I63" s="33"/>
    </row>
    <row r="64" spans="1:9" s="91" customFormat="1" ht="20.100000000000001" customHeight="1" x14ac:dyDescent="0.25">
      <c r="A64" s="75"/>
      <c r="B64" s="73"/>
      <c r="C64" s="73"/>
      <c r="D64" s="73"/>
      <c r="E64" s="71"/>
      <c r="F64" s="73"/>
      <c r="G64" s="72"/>
      <c r="H64" s="72"/>
      <c r="I64" s="33"/>
    </row>
    <row r="65" spans="1:9" s="91" customFormat="1" ht="20.100000000000001" customHeight="1" x14ac:dyDescent="0.25">
      <c r="A65" s="75"/>
      <c r="B65" s="73"/>
      <c r="C65" s="73"/>
      <c r="D65" s="73"/>
      <c r="E65" s="71"/>
      <c r="F65" s="73"/>
      <c r="G65" s="72"/>
      <c r="H65" s="72"/>
      <c r="I65" s="33"/>
    </row>
    <row r="66" spans="1:9" ht="20.100000000000001" customHeight="1" x14ac:dyDescent="0.25">
      <c r="A66" s="2"/>
      <c r="B66" s="2"/>
      <c r="C66" s="2"/>
      <c r="D66" s="2"/>
      <c r="E66" s="3"/>
      <c r="F66" s="2"/>
      <c r="G66" s="4"/>
      <c r="H66" s="4"/>
      <c r="I66" s="3"/>
    </row>
    <row r="67" spans="1:9" ht="20.100000000000001" customHeight="1" x14ac:dyDescent="0.25">
      <c r="A67" s="2"/>
      <c r="B67" s="2"/>
      <c r="C67" s="2"/>
      <c r="D67" s="2"/>
      <c r="E67" s="3"/>
      <c r="F67" s="2"/>
      <c r="G67" s="4"/>
      <c r="H67" s="4"/>
      <c r="I67" s="3"/>
    </row>
    <row r="68" spans="1:9" ht="20.100000000000001" customHeight="1" x14ac:dyDescent="0.25">
      <c r="A68" s="2"/>
      <c r="B68" s="2"/>
      <c r="C68" s="2"/>
      <c r="D68" s="2"/>
      <c r="E68" s="3"/>
      <c r="F68" s="2"/>
      <c r="G68" s="4"/>
      <c r="H68" s="4"/>
      <c r="I68" s="3"/>
    </row>
    <row r="69" spans="1:9" ht="20.100000000000001" customHeight="1" x14ac:dyDescent="0.25">
      <c r="A69" s="2"/>
      <c r="B69" s="2"/>
      <c r="C69" s="2"/>
      <c r="D69" s="2"/>
      <c r="E69" s="3"/>
      <c r="F69" s="2"/>
      <c r="G69" s="4"/>
      <c r="H69" s="4"/>
      <c r="I69" s="3"/>
    </row>
    <row r="71" spans="1:9" ht="20.100000000000001" customHeight="1" x14ac:dyDescent="0.25">
      <c r="A71" s="41" t="s">
        <v>63</v>
      </c>
      <c r="B71" s="42"/>
      <c r="C71" s="42"/>
      <c r="D71" s="42"/>
      <c r="E71" s="42"/>
      <c r="F71" s="42"/>
      <c r="G71" s="42"/>
      <c r="H71" s="42"/>
      <c r="I71" s="43"/>
    </row>
    <row r="72" spans="1:9" ht="15" customHeight="1" x14ac:dyDescent="0.25">
      <c r="A72" s="39" t="s">
        <v>207</v>
      </c>
      <c r="B72" s="35"/>
      <c r="C72" s="35"/>
      <c r="D72" s="35"/>
      <c r="E72" s="35"/>
      <c r="F72" s="35"/>
      <c r="G72" s="35"/>
      <c r="H72" s="35"/>
      <c r="I72" s="35"/>
    </row>
    <row r="73" spans="1:9" ht="15" customHeight="1" x14ac:dyDescent="0.25">
      <c r="A73" s="39" t="s">
        <v>208</v>
      </c>
      <c r="B73" s="35"/>
      <c r="C73" s="35"/>
      <c r="D73" s="35"/>
      <c r="E73" s="35"/>
      <c r="F73" s="35"/>
      <c r="G73" s="35"/>
      <c r="H73" s="35"/>
      <c r="I73" s="35"/>
    </row>
    <row r="75" spans="1:9" ht="15.95" customHeight="1" x14ac:dyDescent="0.25">
      <c r="A75" s="5"/>
      <c r="B75" s="6" t="s">
        <v>68</v>
      </c>
    </row>
    <row r="76" spans="1:9" ht="15.95" customHeight="1" x14ac:dyDescent="0.25">
      <c r="A76" s="7"/>
      <c r="B76" s="8" t="s">
        <v>69</v>
      </c>
    </row>
    <row r="77" spans="1:9" ht="15.95" customHeight="1" x14ac:dyDescent="0.25">
      <c r="A77" s="9"/>
      <c r="B77" s="10" t="s">
        <v>70</v>
      </c>
    </row>
    <row r="78" spans="1:9" ht="15.95" customHeight="1" x14ac:dyDescent="0.25">
      <c r="A78" s="11"/>
      <c r="B78" s="12" t="s">
        <v>71</v>
      </c>
    </row>
  </sheetData>
  <mergeCells count="5">
    <mergeCell ref="A73:I73"/>
    <mergeCell ref="A2:I2"/>
    <mergeCell ref="A71:I71"/>
    <mergeCell ref="A72:I72"/>
    <mergeCell ref="A1:I1"/>
  </mergeCells>
  <phoneticPr fontId="3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3"/>
  <sheetViews>
    <sheetView showGridLines="0" workbookViewId="0">
      <selection activeCell="M14" sqref="M14"/>
    </sheetView>
  </sheetViews>
  <sheetFormatPr defaultRowHeight="15" x14ac:dyDescent="0.25"/>
  <cols>
    <col min="1" max="1" width="8" customWidth="1"/>
    <col min="2" max="2" width="10" customWidth="1"/>
    <col min="3" max="3" width="22" customWidth="1"/>
    <col min="4" max="4" width="14" customWidth="1"/>
    <col min="5" max="5" width="8" customWidth="1"/>
    <col min="6" max="6" width="18" customWidth="1"/>
    <col min="7" max="7" width="28" customWidth="1"/>
    <col min="8" max="8" width="14" customWidth="1"/>
    <col min="9" max="9" width="20" customWidth="1"/>
  </cols>
  <sheetData>
    <row r="1" spans="1:9" ht="33.950000000000003" customHeight="1" x14ac:dyDescent="0.25">
      <c r="A1" s="44" t="s">
        <v>209</v>
      </c>
      <c r="B1" s="35"/>
      <c r="C1" s="35"/>
      <c r="D1" s="35"/>
      <c r="E1" s="35"/>
      <c r="F1" s="35"/>
      <c r="G1" s="35"/>
      <c r="H1" s="35"/>
      <c r="I1" s="35"/>
    </row>
    <row r="2" spans="1:9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9" ht="57.75" customHeight="1" x14ac:dyDescent="0.25">
      <c r="A3" s="1" t="s">
        <v>38</v>
      </c>
      <c r="B3" s="1" t="s">
        <v>117</v>
      </c>
      <c r="C3" s="1" t="s">
        <v>210</v>
      </c>
      <c r="D3" s="1" t="s">
        <v>211</v>
      </c>
      <c r="E3" s="29" t="s">
        <v>182</v>
      </c>
      <c r="F3" s="1" t="s">
        <v>212</v>
      </c>
      <c r="G3" s="1" t="s">
        <v>184</v>
      </c>
      <c r="H3" s="1" t="s">
        <v>110</v>
      </c>
      <c r="I3" s="1" t="s">
        <v>51</v>
      </c>
    </row>
    <row r="4" spans="1:9" ht="20.100000000000001" customHeight="1" x14ac:dyDescent="0.25">
      <c r="A4" s="22">
        <v>2023</v>
      </c>
      <c r="B4" s="2" t="s">
        <v>213</v>
      </c>
      <c r="C4" s="2" t="s">
        <v>214</v>
      </c>
      <c r="D4" s="2">
        <v>0.46600000000000003</v>
      </c>
      <c r="E4" s="3" t="s">
        <v>92</v>
      </c>
      <c r="F4" s="4">
        <v>21.8</v>
      </c>
      <c r="G4" s="4" t="s">
        <v>215</v>
      </c>
      <c r="H4" s="33">
        <f>IF(D4=0,0,IF(OR(LOWER(E4)="kg",LOWER(E4)="ton",LOWER(E4)="tonne"),D4*IF(LOWER(E4)="kg",1,IF(OR(LOWER(E4)="ton",LOWER(E4)="tonne"),1000,0))*F4/1000,IF(OR(LOWER(E4)="usd",LOWER(E4)="$",ISNUMBER(SEARCH("usd",LOWER(E4)))),D4*F4/1000,IF(OR(LOWER(E4)="eur",E4="€"),D4*1.08*F4/1000,IF(OR(LOWER(E4)="gbp",E4="£"),D4*1.27*F4/1000,0)))))/1000</f>
        <v>1.0158800000000001E-2</v>
      </c>
      <c r="I4" s="2"/>
    </row>
    <row r="5" spans="1:9" ht="20.100000000000001" customHeight="1" x14ac:dyDescent="0.25">
      <c r="A5" s="22">
        <v>2023</v>
      </c>
      <c r="B5" s="2" t="s">
        <v>216</v>
      </c>
      <c r="C5" s="2" t="s">
        <v>217</v>
      </c>
      <c r="D5" s="2">
        <v>7.9</v>
      </c>
      <c r="E5" s="3" t="s">
        <v>92</v>
      </c>
      <c r="F5" s="4">
        <v>21.8</v>
      </c>
      <c r="G5" s="4" t="s">
        <v>215</v>
      </c>
      <c r="H5" s="33">
        <f t="shared" ref="H5:H8" si="0">IF(D5=0,0,IF(OR(LOWER(E5)="kg",LOWER(E5)="ton",LOWER(E5)="tonne"),D5*IF(LOWER(E5)="kg",1,IF(OR(LOWER(E5)="ton",LOWER(E5)="tonne"),1000,0))*F5/1000,IF(OR(LOWER(E5)="usd",LOWER(E5)="$",ISNUMBER(SEARCH("usd",LOWER(E5)))),D5*F5/1000,IF(OR(LOWER(E5)="eur",E5="€"),D5*1.08*F5/1000,IF(OR(LOWER(E5)="gbp",E5="£"),D5*1.27*F5/1000,0)))))/1000</f>
        <v>0.17222000000000001</v>
      </c>
      <c r="I5" s="2"/>
    </row>
    <row r="6" spans="1:9" ht="20.100000000000001" customHeight="1" x14ac:dyDescent="0.25">
      <c r="A6" s="22">
        <v>2023</v>
      </c>
      <c r="B6" s="2" t="s">
        <v>218</v>
      </c>
      <c r="C6" s="2" t="s">
        <v>219</v>
      </c>
      <c r="D6" s="2">
        <v>0.32600000000000001</v>
      </c>
      <c r="E6" s="3" t="s">
        <v>92</v>
      </c>
      <c r="F6" s="4">
        <v>21.8</v>
      </c>
      <c r="G6" s="4" t="s">
        <v>215</v>
      </c>
      <c r="H6" s="33">
        <f t="shared" si="0"/>
        <v>7.1067999999999999E-3</v>
      </c>
      <c r="I6" s="2"/>
    </row>
    <row r="7" spans="1:9" ht="20.100000000000001" customHeight="1" x14ac:dyDescent="0.25">
      <c r="A7" s="22">
        <v>2023</v>
      </c>
      <c r="B7" s="2" t="s">
        <v>220</v>
      </c>
      <c r="C7" s="2" t="s">
        <v>221</v>
      </c>
      <c r="D7" s="2">
        <v>1.2999999999999999E-2</v>
      </c>
      <c r="E7" s="3" t="s">
        <v>92</v>
      </c>
      <c r="F7" s="4">
        <v>21.8</v>
      </c>
      <c r="G7" s="4" t="s">
        <v>215</v>
      </c>
      <c r="H7" s="33">
        <f t="shared" si="0"/>
        <v>2.8340000000000006E-4</v>
      </c>
      <c r="I7" s="2"/>
    </row>
    <row r="8" spans="1:9" ht="20.100000000000001" customHeight="1" x14ac:dyDescent="0.25">
      <c r="A8" s="22">
        <v>2023</v>
      </c>
      <c r="B8" s="2" t="s">
        <v>222</v>
      </c>
      <c r="C8" s="2" t="s">
        <v>223</v>
      </c>
      <c r="D8" s="2">
        <v>0.99399999999999999</v>
      </c>
      <c r="E8" s="3" t="s">
        <v>92</v>
      </c>
      <c r="F8" s="4">
        <v>21.8</v>
      </c>
      <c r="G8" s="4" t="s">
        <v>215</v>
      </c>
      <c r="H8" s="33">
        <f t="shared" si="0"/>
        <v>2.16692E-2</v>
      </c>
      <c r="I8" s="2"/>
    </row>
    <row r="9" spans="1:9" s="92" customFormat="1" ht="20.100000000000001" customHeight="1" x14ac:dyDescent="0.25">
      <c r="A9" s="75"/>
      <c r="B9" s="73"/>
      <c r="C9" s="73"/>
      <c r="D9" s="73"/>
      <c r="E9" s="71"/>
      <c r="F9" s="72"/>
      <c r="G9" s="72"/>
      <c r="H9" s="33"/>
      <c r="I9" s="73"/>
    </row>
    <row r="10" spans="1:9" s="92" customFormat="1" ht="20.100000000000001" customHeight="1" x14ac:dyDescent="0.25">
      <c r="A10" s="22">
        <v>2024</v>
      </c>
      <c r="B10" s="2" t="s">
        <v>213</v>
      </c>
      <c r="C10" s="2" t="s">
        <v>214</v>
      </c>
      <c r="D10" s="2">
        <v>1.6910000000000001</v>
      </c>
      <c r="E10" s="3" t="s">
        <v>92</v>
      </c>
      <c r="F10" s="4">
        <v>21.8</v>
      </c>
      <c r="G10" s="4" t="s">
        <v>215</v>
      </c>
      <c r="H10" s="33">
        <f>IF(D10=0,0,IF(OR(LOWER(E10)="kg",LOWER(E10)="ton",LOWER(E10)="tonne"),D10*IF(LOWER(E10)="kg",1,IF(OR(LOWER(E10)="ton",LOWER(E10)="tonne"),1000,0))*F10/1000,IF(OR(LOWER(E10)="usd",LOWER(E10)="$",ISNUMBER(SEARCH("usd",LOWER(E10)))),D10*F10/1000,IF(OR(LOWER(E10)="eur",E10="€"),D10*1.08*F10/1000,IF(OR(LOWER(E10)="gbp",E10="£"),D10*1.27*F10/1000,0)))))/1000</f>
        <v>3.6863800000000002E-2</v>
      </c>
      <c r="I10" s="2"/>
    </row>
    <row r="11" spans="1:9" s="92" customFormat="1" ht="20.100000000000001" customHeight="1" x14ac:dyDescent="0.25">
      <c r="A11" s="22">
        <v>2024</v>
      </c>
      <c r="B11" s="2" t="s">
        <v>216</v>
      </c>
      <c r="C11" s="2" t="s">
        <v>217</v>
      </c>
      <c r="D11" s="2">
        <v>44.48</v>
      </c>
      <c r="E11" s="3" t="s">
        <v>92</v>
      </c>
      <c r="F11" s="4">
        <v>21.8</v>
      </c>
      <c r="G11" s="4" t="s">
        <v>215</v>
      </c>
      <c r="H11" s="33">
        <f t="shared" ref="H11:H14" si="1">IF(D11=0,0,IF(OR(LOWER(E11)="kg",LOWER(E11)="ton",LOWER(E11)="tonne"),D11*IF(LOWER(E11)="kg",1,IF(OR(LOWER(E11)="ton",LOWER(E11)="tonne"),1000,0))*F11/1000,IF(OR(LOWER(E11)="usd",LOWER(E11)="$",ISNUMBER(SEARCH("usd",LOWER(E11)))),D11*F11/1000,IF(OR(LOWER(E11)="eur",E11="€"),D11*1.08*F11/1000,IF(OR(LOWER(E11)="gbp",E11="£"),D11*1.27*F11/1000,0)))))/1000</f>
        <v>0.96966399999999997</v>
      </c>
      <c r="I11" s="2"/>
    </row>
    <row r="12" spans="1:9" s="92" customFormat="1" ht="20.100000000000001" customHeight="1" x14ac:dyDescent="0.25">
      <c r="A12" s="22">
        <v>2024</v>
      </c>
      <c r="B12" s="2" t="s">
        <v>218</v>
      </c>
      <c r="C12" s="2" t="s">
        <v>219</v>
      </c>
      <c r="D12" s="2">
        <v>2.5070000000000001</v>
      </c>
      <c r="E12" s="3" t="s">
        <v>92</v>
      </c>
      <c r="F12" s="4">
        <v>21.8</v>
      </c>
      <c r="G12" s="4" t="s">
        <v>215</v>
      </c>
      <c r="H12" s="33">
        <f t="shared" si="1"/>
        <v>5.4652600000000003E-2</v>
      </c>
      <c r="I12" s="2"/>
    </row>
    <row r="13" spans="1:9" s="92" customFormat="1" ht="20.100000000000001" customHeight="1" x14ac:dyDescent="0.25">
      <c r="A13" s="22">
        <v>2024</v>
      </c>
      <c r="B13" s="2" t="s">
        <v>220</v>
      </c>
      <c r="C13" s="2" t="s">
        <v>221</v>
      </c>
      <c r="D13" s="2">
        <v>6.5000000000000002E-2</v>
      </c>
      <c r="E13" s="3" t="s">
        <v>92</v>
      </c>
      <c r="F13" s="4">
        <v>21.8</v>
      </c>
      <c r="G13" s="4" t="s">
        <v>215</v>
      </c>
      <c r="H13" s="33">
        <f t="shared" si="1"/>
        <v>1.4170000000000001E-3</v>
      </c>
      <c r="I13" s="2"/>
    </row>
    <row r="14" spans="1:9" s="92" customFormat="1" ht="20.100000000000001" customHeight="1" x14ac:dyDescent="0.25">
      <c r="A14" s="22">
        <v>2024</v>
      </c>
      <c r="B14" s="2" t="s">
        <v>222</v>
      </c>
      <c r="C14" s="2" t="s">
        <v>223</v>
      </c>
      <c r="D14" s="2">
        <v>4.9640000000000004</v>
      </c>
      <c r="E14" s="3" t="s">
        <v>92</v>
      </c>
      <c r="F14" s="4">
        <v>21.8</v>
      </c>
      <c r="G14" s="4" t="s">
        <v>215</v>
      </c>
      <c r="H14" s="33">
        <f t="shared" si="1"/>
        <v>0.1082152</v>
      </c>
      <c r="I14" s="2"/>
    </row>
    <row r="15" spans="1:9" s="92" customFormat="1" ht="20.100000000000001" customHeight="1" x14ac:dyDescent="0.25">
      <c r="A15" s="75"/>
      <c r="B15" s="73"/>
      <c r="C15" s="73"/>
      <c r="D15" s="73"/>
      <c r="E15" s="71"/>
      <c r="F15" s="72"/>
      <c r="G15" s="72"/>
      <c r="H15" s="33"/>
      <c r="I15" s="73"/>
    </row>
    <row r="16" spans="1:9" s="92" customFormat="1" ht="20.100000000000001" customHeight="1" x14ac:dyDescent="0.25">
      <c r="A16" s="75"/>
      <c r="B16" s="73"/>
      <c r="C16" s="73"/>
      <c r="D16" s="73"/>
      <c r="E16" s="71"/>
      <c r="F16" s="72"/>
      <c r="G16" s="72"/>
      <c r="H16" s="33"/>
      <c r="I16" s="73"/>
    </row>
    <row r="17" spans="1:9" s="92" customFormat="1" ht="20.100000000000001" customHeight="1" x14ac:dyDescent="0.25">
      <c r="A17" s="75"/>
      <c r="B17" s="73"/>
      <c r="C17" s="73"/>
      <c r="D17" s="73"/>
      <c r="E17" s="71"/>
      <c r="F17" s="72"/>
      <c r="G17" s="72"/>
      <c r="H17" s="33"/>
      <c r="I17" s="73"/>
    </row>
    <row r="18" spans="1:9" s="92" customFormat="1" ht="20.100000000000001" customHeight="1" x14ac:dyDescent="0.25">
      <c r="A18" s="75"/>
      <c r="B18" s="73"/>
      <c r="C18" s="73"/>
      <c r="D18" s="73"/>
      <c r="E18" s="71"/>
      <c r="F18" s="72"/>
      <c r="G18" s="72"/>
      <c r="H18" s="33"/>
      <c r="I18" s="73"/>
    </row>
    <row r="19" spans="1:9" s="92" customFormat="1" ht="20.100000000000001" customHeight="1" x14ac:dyDescent="0.25">
      <c r="A19" s="75"/>
      <c r="B19" s="73"/>
      <c r="C19" s="73"/>
      <c r="D19" s="73"/>
      <c r="E19" s="71"/>
      <c r="F19" s="72"/>
      <c r="G19" s="72"/>
      <c r="H19" s="33"/>
      <c r="I19" s="73"/>
    </row>
    <row r="20" spans="1:9" s="92" customFormat="1" ht="20.100000000000001" customHeight="1" x14ac:dyDescent="0.25">
      <c r="A20" s="75"/>
      <c r="B20" s="73"/>
      <c r="C20" s="73"/>
      <c r="D20" s="73"/>
      <c r="E20" s="71"/>
      <c r="F20" s="72"/>
      <c r="G20" s="72"/>
      <c r="H20" s="33"/>
      <c r="I20" s="73"/>
    </row>
    <row r="21" spans="1:9" ht="20.100000000000001" customHeight="1" x14ac:dyDescent="0.25">
      <c r="A21" s="2"/>
      <c r="B21" s="2"/>
      <c r="C21" s="2"/>
      <c r="D21" s="2"/>
      <c r="E21" s="3"/>
      <c r="F21" s="4"/>
      <c r="G21" s="4"/>
      <c r="H21" s="3"/>
      <c r="I21" s="2"/>
    </row>
    <row r="22" spans="1:9" ht="20.100000000000001" customHeight="1" x14ac:dyDescent="0.25">
      <c r="A22" s="2"/>
      <c r="B22" s="2"/>
      <c r="C22" s="2"/>
      <c r="D22" s="2"/>
      <c r="E22" s="3"/>
      <c r="F22" s="4"/>
      <c r="G22" s="4"/>
      <c r="H22" s="3"/>
      <c r="I22" s="2"/>
    </row>
    <row r="23" spans="1:9" ht="20.100000000000001" customHeight="1" x14ac:dyDescent="0.25">
      <c r="A23" s="2"/>
      <c r="B23" s="2"/>
      <c r="C23" s="2"/>
      <c r="D23" s="2"/>
      <c r="E23" s="3"/>
      <c r="F23" s="4"/>
      <c r="G23" s="4"/>
      <c r="H23" s="3"/>
      <c r="I23" s="2"/>
    </row>
    <row r="24" spans="1:9" ht="20.100000000000001" customHeight="1" x14ac:dyDescent="0.25">
      <c r="A24" s="2"/>
      <c r="B24" s="2"/>
      <c r="C24" s="2"/>
      <c r="D24" s="2"/>
      <c r="E24" s="3"/>
      <c r="F24" s="4"/>
      <c r="G24" s="4"/>
      <c r="H24" s="3"/>
      <c r="I24" s="2"/>
    </row>
    <row r="26" spans="1:9" ht="20.100000000000001" customHeight="1" x14ac:dyDescent="0.25">
      <c r="A26" s="41" t="s">
        <v>63</v>
      </c>
      <c r="B26" s="42"/>
      <c r="C26" s="42"/>
      <c r="D26" s="42"/>
      <c r="E26" s="42"/>
      <c r="F26" s="42"/>
      <c r="G26" s="42"/>
      <c r="H26" s="42"/>
      <c r="I26" s="43"/>
    </row>
    <row r="27" spans="1:9" ht="15" customHeight="1" x14ac:dyDescent="0.25">
      <c r="A27" s="39" t="s">
        <v>224</v>
      </c>
      <c r="B27" s="35"/>
      <c r="C27" s="35"/>
      <c r="D27" s="35"/>
      <c r="E27" s="35"/>
      <c r="F27" s="35"/>
      <c r="G27" s="35"/>
      <c r="H27" s="35"/>
      <c r="I27" s="35"/>
    </row>
    <row r="28" spans="1:9" ht="15" customHeight="1" x14ac:dyDescent="0.25">
      <c r="A28" s="39" t="s">
        <v>225</v>
      </c>
      <c r="B28" s="35"/>
      <c r="C28" s="35"/>
      <c r="D28" s="35"/>
      <c r="E28" s="35"/>
      <c r="F28" s="35"/>
      <c r="G28" s="35"/>
      <c r="H28" s="35"/>
      <c r="I28" s="35"/>
    </row>
    <row r="30" spans="1:9" ht="15.95" customHeight="1" x14ac:dyDescent="0.25">
      <c r="A30" s="5"/>
      <c r="B30" s="6" t="s">
        <v>68</v>
      </c>
    </row>
    <row r="31" spans="1:9" ht="15.95" customHeight="1" x14ac:dyDescent="0.25">
      <c r="A31" s="7"/>
      <c r="B31" s="8" t="s">
        <v>69</v>
      </c>
    </row>
    <row r="32" spans="1:9" ht="15.95" customHeight="1" x14ac:dyDescent="0.25">
      <c r="A32" s="9"/>
      <c r="B32" s="10" t="s">
        <v>70</v>
      </c>
    </row>
    <row r="33" spans="1:2" ht="15.95" customHeight="1" x14ac:dyDescent="0.25">
      <c r="A33" s="11"/>
      <c r="B33" s="12" t="s">
        <v>71</v>
      </c>
    </row>
  </sheetData>
  <mergeCells count="5">
    <mergeCell ref="A27:I27"/>
    <mergeCell ref="A2:I2"/>
    <mergeCell ref="A26:I26"/>
    <mergeCell ref="A1:I1"/>
    <mergeCell ref="A28:I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showGridLines="0" workbookViewId="0">
      <selection activeCell="I21" sqref="I21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6" customWidth="1"/>
    <col min="5" max="5" width="12" customWidth="1"/>
    <col min="6" max="6" width="20" customWidth="1"/>
    <col min="7" max="7" width="22" customWidth="1"/>
    <col min="8" max="8" width="14" customWidth="1"/>
    <col min="9" max="9" width="22" customWidth="1"/>
  </cols>
  <sheetData>
    <row r="1" spans="1:9" ht="33.950000000000003" customHeight="1" x14ac:dyDescent="0.25">
      <c r="A1" s="44" t="s">
        <v>226</v>
      </c>
      <c r="B1" s="35"/>
      <c r="C1" s="35"/>
      <c r="D1" s="35"/>
      <c r="E1" s="35"/>
      <c r="F1" s="35"/>
      <c r="G1" s="35"/>
      <c r="H1" s="35"/>
      <c r="I1" s="35"/>
    </row>
    <row r="2" spans="1:9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9" ht="38.1" customHeight="1" x14ac:dyDescent="0.25">
      <c r="A3" s="1" t="s">
        <v>38</v>
      </c>
      <c r="B3" s="1" t="s">
        <v>117</v>
      </c>
      <c r="C3" s="1" t="s">
        <v>227</v>
      </c>
      <c r="D3" s="1" t="s">
        <v>199</v>
      </c>
      <c r="E3" s="29" t="s">
        <v>182</v>
      </c>
      <c r="F3" s="1" t="s">
        <v>202</v>
      </c>
      <c r="G3" s="1" t="s">
        <v>184</v>
      </c>
      <c r="H3" s="1" t="s">
        <v>110</v>
      </c>
      <c r="I3" s="1" t="s">
        <v>51</v>
      </c>
    </row>
    <row r="4" spans="1:9" ht="20.100000000000001" customHeight="1" x14ac:dyDescent="0.25">
      <c r="A4" s="22">
        <v>2024</v>
      </c>
      <c r="B4" s="2" t="s">
        <v>228</v>
      </c>
      <c r="C4" s="2" t="s">
        <v>229</v>
      </c>
      <c r="D4" s="2">
        <v>262</v>
      </c>
      <c r="E4" s="3" t="s">
        <v>190</v>
      </c>
      <c r="F4" s="4">
        <v>0.13400000000000001</v>
      </c>
      <c r="G4" s="4" t="s">
        <v>191</v>
      </c>
      <c r="H4" s="33">
        <f>IF(D4=0,0,IF(OR(LOWER(E4)="kg",LOWER(E4)="ton",LOWER(E4)="tonne"),D4*IF(LOWER(E4)="kg",1,IF(OR(LOWER(E4)="ton",LOWER(E4)="tonne"),1000,0))*F4/1000,IF(OR(LOWER(E4)="usd",LOWER(E4)="$",ISNUMBER(SEARCH("usd",LOWER(E4)))),D4*F4/1000,IF(OR(LOWER(E4)="eur",E4="€"),D4*1.08*F4/1000,IF(OR(LOWER(E4)="gbp",E4="£"),D4*1.27*F4/1000,0)))))</f>
        <v>3.5108000000000007E-2</v>
      </c>
      <c r="I4" s="2"/>
    </row>
    <row r="5" spans="1:9" ht="20.100000000000001" customHeight="1" x14ac:dyDescent="0.25">
      <c r="A5" s="22"/>
      <c r="B5" s="2"/>
      <c r="C5" s="2"/>
      <c r="D5" s="2"/>
      <c r="E5" s="3"/>
      <c r="F5" s="4"/>
      <c r="G5" s="4"/>
      <c r="H5" s="33"/>
      <c r="I5" s="2"/>
    </row>
    <row r="6" spans="1:9" ht="20.100000000000001" customHeight="1" x14ac:dyDescent="0.25">
      <c r="A6" s="2"/>
      <c r="B6" s="2"/>
      <c r="C6" s="2"/>
      <c r="D6" s="2"/>
      <c r="E6" s="3"/>
      <c r="F6" s="4"/>
      <c r="G6" s="4"/>
      <c r="H6" s="3"/>
      <c r="I6" s="2"/>
    </row>
    <row r="7" spans="1:9" ht="20.100000000000001" customHeight="1" x14ac:dyDescent="0.25">
      <c r="A7" s="2"/>
      <c r="B7" s="2"/>
      <c r="C7" s="2"/>
      <c r="D7" s="2"/>
      <c r="E7" s="3"/>
      <c r="F7" s="4"/>
      <c r="G7" s="4"/>
      <c r="H7" s="3"/>
      <c r="I7" s="2"/>
    </row>
    <row r="8" spans="1:9" ht="20.100000000000001" customHeight="1" x14ac:dyDescent="0.25">
      <c r="A8" s="2"/>
      <c r="B8" s="2"/>
      <c r="C8" s="2"/>
      <c r="D8" s="2"/>
      <c r="E8" s="3"/>
      <c r="F8" s="4"/>
      <c r="G8" s="4"/>
      <c r="H8" s="3"/>
      <c r="I8" s="2"/>
    </row>
    <row r="9" spans="1:9" ht="20.100000000000001" customHeight="1" x14ac:dyDescent="0.25">
      <c r="A9" s="2"/>
      <c r="B9" s="2"/>
      <c r="C9" s="2"/>
      <c r="D9" s="2"/>
      <c r="E9" s="3"/>
      <c r="F9" s="4"/>
      <c r="G9" s="4"/>
      <c r="H9" s="3"/>
      <c r="I9" s="2"/>
    </row>
    <row r="11" spans="1:9" ht="20.100000000000001" customHeight="1" x14ac:dyDescent="0.25">
      <c r="A11" s="41" t="s">
        <v>63</v>
      </c>
      <c r="B11" s="42"/>
      <c r="C11" s="42"/>
      <c r="D11" s="42"/>
      <c r="E11" s="42"/>
      <c r="F11" s="42"/>
      <c r="G11" s="42"/>
      <c r="H11" s="42"/>
      <c r="I11" s="43"/>
    </row>
    <row r="12" spans="1:9" ht="15" customHeight="1" x14ac:dyDescent="0.25">
      <c r="A12" s="39" t="s">
        <v>230</v>
      </c>
      <c r="B12" s="35"/>
      <c r="C12" s="35"/>
      <c r="D12" s="35"/>
      <c r="E12" s="35"/>
      <c r="F12" s="35"/>
      <c r="G12" s="35"/>
      <c r="H12" s="35"/>
      <c r="I12" s="35"/>
    </row>
    <row r="13" spans="1:9" ht="15" customHeight="1" x14ac:dyDescent="0.25">
      <c r="A13" s="39" t="s">
        <v>208</v>
      </c>
      <c r="B13" s="35"/>
      <c r="C13" s="35"/>
      <c r="D13" s="35"/>
      <c r="E13" s="35"/>
      <c r="F13" s="35"/>
      <c r="G13" s="35"/>
      <c r="H13" s="35"/>
      <c r="I13" s="35"/>
    </row>
    <row r="15" spans="1:9" ht="15.95" customHeight="1" x14ac:dyDescent="0.25">
      <c r="A15" s="5"/>
      <c r="B15" s="6" t="s">
        <v>68</v>
      </c>
    </row>
    <row r="16" spans="1:9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38"/>
  <sheetViews>
    <sheetView showGridLines="0" workbookViewId="0">
      <selection activeCell="P20" sqref="P20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6" customWidth="1"/>
    <col min="5" max="5" width="27" customWidth="1"/>
    <col min="6" max="6" width="20" customWidth="1"/>
    <col min="7" max="7" width="22" customWidth="1"/>
    <col min="8" max="8" width="14" customWidth="1"/>
    <col min="9" max="9" width="22" customWidth="1"/>
  </cols>
  <sheetData>
    <row r="1" spans="1:9" ht="33.950000000000003" customHeight="1" x14ac:dyDescent="0.25">
      <c r="A1" s="44" t="s">
        <v>231</v>
      </c>
      <c r="B1" s="35"/>
      <c r="C1" s="35"/>
      <c r="D1" s="35"/>
      <c r="E1" s="35"/>
      <c r="F1" s="35"/>
      <c r="G1" s="35"/>
      <c r="H1" s="35"/>
      <c r="I1" s="35"/>
    </row>
    <row r="2" spans="1:9" ht="15" customHeight="1" x14ac:dyDescent="0.25">
      <c r="A2" s="40" t="s">
        <v>37</v>
      </c>
      <c r="B2" s="35"/>
      <c r="C2" s="35"/>
      <c r="D2" s="35"/>
      <c r="E2" s="35"/>
      <c r="F2" s="35"/>
      <c r="G2" s="35"/>
      <c r="H2" s="35"/>
      <c r="I2" s="35"/>
    </row>
    <row r="3" spans="1:9" ht="38.1" customHeight="1" x14ac:dyDescent="0.25">
      <c r="A3" s="1" t="s">
        <v>38</v>
      </c>
      <c r="B3" s="1" t="s">
        <v>117</v>
      </c>
      <c r="C3" s="1" t="s">
        <v>232</v>
      </c>
      <c r="D3" s="1" t="s">
        <v>199</v>
      </c>
      <c r="E3" s="29" t="s">
        <v>182</v>
      </c>
      <c r="F3" s="1" t="s">
        <v>202</v>
      </c>
      <c r="G3" s="1" t="s">
        <v>184</v>
      </c>
      <c r="H3" s="1" t="s">
        <v>110</v>
      </c>
      <c r="I3" s="1" t="s">
        <v>51</v>
      </c>
    </row>
    <row r="4" spans="1:9" ht="20.100000000000001" customHeight="1" x14ac:dyDescent="0.25">
      <c r="A4" s="22">
        <v>2023</v>
      </c>
      <c r="B4" s="2" t="s">
        <v>233</v>
      </c>
      <c r="C4" s="2" t="s">
        <v>464</v>
      </c>
      <c r="D4" s="2">
        <v>189026.96</v>
      </c>
      <c r="E4" s="3" t="s">
        <v>190</v>
      </c>
      <c r="F4" s="4">
        <v>0.16700000000000001</v>
      </c>
      <c r="G4" s="4" t="s">
        <v>191</v>
      </c>
      <c r="H4" s="33">
        <f>IF(D4=0,0,IF(OR(LOWER(E4)="kg",LOWER(E4)="ton",LOWER(E4)="tonne"),D4*IF(LOWER(E4)="kg",1,IF(OR(LOWER(E4)="ton",LOWER(E4)="tonne"),1000,0))*F4/1000,IF(OR(LOWER(E4)="usd",LOWER(E4)="$",ISNUMBER(SEARCH("usd",LOWER(E4)))),D4*F4/1000,IF(OR(LOWER(E4)="eur",E4="€"),D4*1.08*F4/1000,IF(OR(LOWER(E4)="gbp",E4="£"),D4*1.27*F4/1000,0)))))</f>
        <v>31.567502319999999</v>
      </c>
      <c r="I4" s="2"/>
    </row>
    <row r="5" spans="1:9" ht="20.100000000000001" customHeight="1" x14ac:dyDescent="0.25">
      <c r="A5" s="22">
        <v>2023</v>
      </c>
      <c r="B5" s="2" t="s">
        <v>235</v>
      </c>
      <c r="C5" s="2" t="s">
        <v>465</v>
      </c>
      <c r="D5" s="2">
        <v>136523.65</v>
      </c>
      <c r="E5" s="3" t="s">
        <v>190</v>
      </c>
      <c r="F5" s="4">
        <v>0.08</v>
      </c>
      <c r="G5" s="4" t="s">
        <v>191</v>
      </c>
      <c r="H5" s="33">
        <f>IF(D5=0,0,IF(OR(LOWER(E5)="kg",LOWER(E5)="ton",LOWER(E5)="tonne"),D5*IF(LOWER(E5)="kg",1,IF(OR(LOWER(E5)="ton",LOWER(E5)="tonne"),1000,0))*F5/1000,IF(OR(LOWER(E5)="usd",LOWER(E5)="$",ISNUMBER(SEARCH("usd",LOWER(E5)))),D5*F5/1000,IF(OR(LOWER(E5)="eur",E5="€"),D5*1.08*F5/1000,IF(OR(LOWER(E5)="gbp",E5="£"),D5*1.27*F5/1000,0)))))</f>
        <v>10.921892</v>
      </c>
      <c r="I5" s="2"/>
    </row>
    <row r="6" spans="1:9" ht="20.100000000000001" customHeight="1" x14ac:dyDescent="0.25">
      <c r="A6" s="22">
        <v>2023</v>
      </c>
      <c r="B6" s="2" t="s">
        <v>237</v>
      </c>
      <c r="C6" s="2" t="s">
        <v>466</v>
      </c>
      <c r="D6" s="2">
        <v>59074.66</v>
      </c>
      <c r="E6" s="3" t="s">
        <v>190</v>
      </c>
      <c r="F6" s="4">
        <v>0.21</v>
      </c>
      <c r="G6" s="4" t="s">
        <v>191</v>
      </c>
      <c r="H6" s="33">
        <f>IF(D6=0,0,IF(OR(LOWER(E6)="kg",LOWER(E6)="ton",LOWER(E6)="tonne"),D6*IF(LOWER(E6)="kg",1,IF(OR(LOWER(E6)="ton",LOWER(E6)="tonne"),1000,0))*F6/1000,IF(OR(LOWER(E6)="usd",LOWER(E6)="$",ISNUMBER(SEARCH("usd",LOWER(E6)))),D6*F6/1000,IF(OR(LOWER(E6)="eur",E6="€"),D6*1.08*F6/1000,IF(OR(LOWER(E6)="gbp",E6="£"),D6*1.27*F6/1000,0)))))</f>
        <v>12.405678600000002</v>
      </c>
      <c r="I6" s="2"/>
    </row>
    <row r="7" spans="1:9" ht="20.100000000000001" customHeight="1" x14ac:dyDescent="0.25">
      <c r="A7" s="22">
        <v>2023</v>
      </c>
      <c r="B7" s="2" t="s">
        <v>239</v>
      </c>
      <c r="C7" s="2" t="s">
        <v>467</v>
      </c>
      <c r="D7" s="2">
        <v>422.69</v>
      </c>
      <c r="E7" s="3" t="s">
        <v>92</v>
      </c>
      <c r="F7" s="4">
        <v>1</v>
      </c>
      <c r="G7" s="4" t="s">
        <v>191</v>
      </c>
      <c r="H7" s="33">
        <f t="shared" ref="H7:H13" si="0">IF(D7=0,0,IF(OR(LOWER(E7)="kg",LOWER(E7)="ton",LOWER(E7)="tonne"),D7*IF(LOWER(E7)="kg",1,IF(OR(LOWER(E7)="ton",LOWER(E7)="tonne"),1000,0))*F7/1000,IF(OR(LOWER(E7)="usd",LOWER(E7)="$",ISNUMBER(SEARCH("usd",LOWER(E7)))),D7*F7/1000,IF(OR(LOWER(E7)="eur",E7="€"),D7*1.08*F7/1000,IF(OR(LOWER(E7)="gbp",E7="£"),D7*1.27*F7/1000,0)))))</f>
        <v>422.69</v>
      </c>
      <c r="I7" s="2" t="s">
        <v>495</v>
      </c>
    </row>
    <row r="8" spans="1:9" ht="20.100000000000001" customHeight="1" x14ac:dyDescent="0.25">
      <c r="A8" s="22"/>
      <c r="B8" s="2"/>
      <c r="C8" s="2"/>
      <c r="D8" s="2"/>
      <c r="E8" s="3"/>
      <c r="F8" s="4"/>
      <c r="G8" s="4"/>
      <c r="H8" s="33"/>
      <c r="I8" s="2"/>
    </row>
    <row r="9" spans="1:9" s="92" customFormat="1" ht="20.100000000000001" customHeight="1" x14ac:dyDescent="0.25">
      <c r="A9" s="75">
        <v>2024</v>
      </c>
      <c r="B9" s="73" t="s">
        <v>233</v>
      </c>
      <c r="C9" s="73" t="s">
        <v>234</v>
      </c>
      <c r="D9" s="73">
        <v>202802.59</v>
      </c>
      <c r="E9" s="71" t="s">
        <v>190</v>
      </c>
      <c r="F9" s="72">
        <v>0.16700000000000001</v>
      </c>
      <c r="G9" s="72" t="s">
        <v>191</v>
      </c>
      <c r="H9" s="33">
        <f t="shared" si="0"/>
        <v>33.868032530000001</v>
      </c>
      <c r="I9" s="73"/>
    </row>
    <row r="10" spans="1:9" s="92" customFormat="1" ht="20.100000000000001" customHeight="1" x14ac:dyDescent="0.25">
      <c r="A10" s="75">
        <v>2024</v>
      </c>
      <c r="B10" s="73" t="s">
        <v>235</v>
      </c>
      <c r="C10" s="73" t="s">
        <v>236</v>
      </c>
      <c r="D10" s="73">
        <v>182535.12</v>
      </c>
      <c r="E10" s="71" t="s">
        <v>190</v>
      </c>
      <c r="F10" s="72">
        <v>0.08</v>
      </c>
      <c r="G10" s="72" t="s">
        <v>191</v>
      </c>
      <c r="H10" s="33">
        <f t="shared" si="0"/>
        <v>14.602809600000001</v>
      </c>
      <c r="I10" s="73"/>
    </row>
    <row r="11" spans="1:9" s="92" customFormat="1" ht="20.100000000000001" customHeight="1" x14ac:dyDescent="0.25">
      <c r="A11" s="75">
        <v>2024</v>
      </c>
      <c r="B11" s="73" t="s">
        <v>237</v>
      </c>
      <c r="C11" s="73" t="s">
        <v>238</v>
      </c>
      <c r="D11" s="73">
        <v>1008357.63</v>
      </c>
      <c r="E11" s="71" t="s">
        <v>190</v>
      </c>
      <c r="F11" s="72">
        <v>0.16</v>
      </c>
      <c r="G11" s="72" t="s">
        <v>191</v>
      </c>
      <c r="H11" s="33">
        <f t="shared" si="0"/>
        <v>161.33722080000001</v>
      </c>
      <c r="I11" s="73"/>
    </row>
    <row r="12" spans="1:9" s="92" customFormat="1" ht="20.100000000000001" customHeight="1" x14ac:dyDescent="0.25">
      <c r="A12" s="75">
        <v>2024</v>
      </c>
      <c r="B12" s="73" t="s">
        <v>239</v>
      </c>
      <c r="C12" s="73" t="s">
        <v>240</v>
      </c>
      <c r="D12" s="73">
        <v>3753211.03</v>
      </c>
      <c r="E12" s="71" t="s">
        <v>190</v>
      </c>
      <c r="F12" s="72">
        <v>1.1200000000000001</v>
      </c>
      <c r="G12" s="72" t="s">
        <v>191</v>
      </c>
      <c r="H12" s="33">
        <f t="shared" si="0"/>
        <v>4203.5963535999999</v>
      </c>
      <c r="I12" s="73"/>
    </row>
    <row r="13" spans="1:9" s="92" customFormat="1" ht="20.100000000000001" customHeight="1" x14ac:dyDescent="0.25">
      <c r="A13" s="75">
        <v>2024</v>
      </c>
      <c r="B13" s="73" t="s">
        <v>241</v>
      </c>
      <c r="C13" s="73" t="s">
        <v>242</v>
      </c>
      <c r="D13" s="73">
        <v>394175.42</v>
      </c>
      <c r="E13" s="71" t="s">
        <v>190</v>
      </c>
      <c r="F13" s="72">
        <v>0.26</v>
      </c>
      <c r="G13" s="72" t="s">
        <v>191</v>
      </c>
      <c r="H13" s="33">
        <f t="shared" si="0"/>
        <v>102.48560920000001</v>
      </c>
      <c r="I13" s="73"/>
    </row>
    <row r="14" spans="1:9" s="92" customFormat="1" ht="20.100000000000001" customHeight="1" x14ac:dyDescent="0.25">
      <c r="A14" s="75"/>
      <c r="B14" s="73"/>
      <c r="C14" s="73"/>
      <c r="D14" s="73"/>
      <c r="E14" s="71"/>
      <c r="F14" s="72"/>
      <c r="G14" s="72"/>
      <c r="H14" s="33"/>
      <c r="I14" s="73"/>
    </row>
    <row r="15" spans="1:9" s="92" customFormat="1" ht="20.100000000000001" customHeight="1" x14ac:dyDescent="0.25">
      <c r="A15" s="75">
        <v>2025</v>
      </c>
      <c r="B15" s="73" t="s">
        <v>233</v>
      </c>
      <c r="C15" s="73" t="s">
        <v>234</v>
      </c>
      <c r="D15" s="73">
        <v>0</v>
      </c>
      <c r="E15" s="71" t="s">
        <v>190</v>
      </c>
      <c r="F15" s="72">
        <v>0</v>
      </c>
      <c r="G15" s="72" t="s">
        <v>191</v>
      </c>
      <c r="H15" s="33">
        <v>0</v>
      </c>
      <c r="I15" s="73"/>
    </row>
    <row r="16" spans="1:9" s="92" customFormat="1" ht="20.100000000000001" customHeight="1" x14ac:dyDescent="0.25">
      <c r="A16" s="2">
        <v>2025</v>
      </c>
      <c r="B16" s="2" t="s">
        <v>235</v>
      </c>
      <c r="C16" s="2" t="s">
        <v>236</v>
      </c>
      <c r="D16" s="2">
        <v>0</v>
      </c>
      <c r="E16" s="3" t="s">
        <v>190</v>
      </c>
      <c r="F16" s="4">
        <v>0</v>
      </c>
      <c r="G16" s="4" t="s">
        <v>191</v>
      </c>
      <c r="H16" s="3">
        <v>0</v>
      </c>
      <c r="I16" s="2"/>
    </row>
    <row r="17" spans="1:9" s="92" customFormat="1" ht="20.100000000000001" customHeight="1" x14ac:dyDescent="0.25">
      <c r="A17" s="2">
        <v>2025</v>
      </c>
      <c r="B17" s="2" t="s">
        <v>237</v>
      </c>
      <c r="C17" s="2" t="s">
        <v>238</v>
      </c>
      <c r="D17" s="2">
        <v>0</v>
      </c>
      <c r="E17" s="3" t="s">
        <v>190</v>
      </c>
      <c r="F17" s="4">
        <v>0</v>
      </c>
      <c r="G17" s="4" t="s">
        <v>191</v>
      </c>
      <c r="H17" s="3">
        <v>0</v>
      </c>
      <c r="I17" s="2"/>
    </row>
    <row r="18" spans="1:9" s="92" customFormat="1" ht="20.100000000000001" customHeight="1" x14ac:dyDescent="0.25">
      <c r="A18" s="2">
        <v>2025</v>
      </c>
      <c r="B18" s="2" t="s">
        <v>239</v>
      </c>
      <c r="C18" s="2" t="s">
        <v>240</v>
      </c>
      <c r="D18" s="2">
        <v>0</v>
      </c>
      <c r="E18" s="3" t="s">
        <v>190</v>
      </c>
      <c r="F18" s="4">
        <v>0</v>
      </c>
      <c r="G18" s="4" t="s">
        <v>191</v>
      </c>
      <c r="H18" s="3">
        <v>0</v>
      </c>
      <c r="I18" s="2"/>
    </row>
    <row r="19" spans="1:9" s="92" customFormat="1" ht="20.100000000000001" customHeight="1" x14ac:dyDescent="0.25">
      <c r="A19" s="2">
        <v>2025</v>
      </c>
      <c r="B19" s="2" t="s">
        <v>241</v>
      </c>
      <c r="C19" s="2" t="s">
        <v>242</v>
      </c>
      <c r="D19" s="2">
        <v>0</v>
      </c>
      <c r="E19" s="3" t="s">
        <v>190</v>
      </c>
      <c r="F19" s="4">
        <v>0</v>
      </c>
      <c r="G19" s="4" t="s">
        <v>191</v>
      </c>
      <c r="H19" s="3">
        <v>0</v>
      </c>
      <c r="I19" s="2"/>
    </row>
    <row r="20" spans="1:9" s="92" customFormat="1" ht="20.100000000000001" customHeight="1" x14ac:dyDescent="0.25">
      <c r="A20" s="75"/>
      <c r="B20" s="73"/>
      <c r="C20" s="73"/>
      <c r="D20" s="73"/>
      <c r="E20" s="71"/>
      <c r="F20" s="72"/>
      <c r="G20" s="72"/>
      <c r="H20" s="33"/>
      <c r="I20" s="73"/>
    </row>
    <row r="21" spans="1:9" ht="20.100000000000001" customHeight="1" x14ac:dyDescent="0.25">
      <c r="A21" s="2"/>
      <c r="B21" s="2"/>
      <c r="C21" s="2"/>
      <c r="D21" s="2"/>
      <c r="E21" s="3"/>
      <c r="F21" s="4"/>
      <c r="G21" s="4"/>
      <c r="H21" s="3"/>
      <c r="I21" s="2"/>
    </row>
    <row r="22" spans="1:9" ht="20.100000000000001" customHeight="1" x14ac:dyDescent="0.25">
      <c r="A22" s="2"/>
      <c r="B22" s="2"/>
      <c r="C22" s="2"/>
      <c r="D22" s="2"/>
      <c r="E22" s="3"/>
      <c r="F22" s="4"/>
      <c r="G22" s="4"/>
      <c r="H22" s="3"/>
      <c r="I22" s="2"/>
    </row>
    <row r="23" spans="1:9" ht="20.100000000000001" customHeight="1" x14ac:dyDescent="0.25">
      <c r="A23" s="2"/>
      <c r="B23" s="2"/>
      <c r="C23" s="2"/>
      <c r="D23" s="2"/>
      <c r="E23" s="3"/>
      <c r="F23" s="4"/>
      <c r="G23" s="4"/>
      <c r="H23" s="3"/>
      <c r="I23" s="2"/>
    </row>
    <row r="24" spans="1:9" ht="20.100000000000001" customHeight="1" x14ac:dyDescent="0.25">
      <c r="A24" s="2"/>
      <c r="B24" s="2"/>
      <c r="C24" s="2"/>
      <c r="D24" s="2"/>
      <c r="E24" s="3"/>
      <c r="F24" s="4"/>
      <c r="G24" s="4"/>
      <c r="H24" s="3"/>
      <c r="I24" s="2"/>
    </row>
    <row r="26" spans="1:9" ht="20.100000000000001" customHeight="1" x14ac:dyDescent="0.25">
      <c r="A26" s="41" t="s">
        <v>63</v>
      </c>
      <c r="B26" s="42"/>
      <c r="C26" s="42"/>
      <c r="D26" s="42"/>
      <c r="E26" s="42"/>
      <c r="F26" s="42"/>
      <c r="G26" s="42"/>
      <c r="H26" s="42"/>
      <c r="I26" s="43"/>
    </row>
    <row r="27" spans="1:9" ht="15" customHeight="1" x14ac:dyDescent="0.25">
      <c r="A27" s="39" t="s">
        <v>230</v>
      </c>
      <c r="B27" s="35"/>
      <c r="C27" s="35"/>
      <c r="D27" s="35"/>
      <c r="E27" s="35"/>
      <c r="F27" s="35"/>
      <c r="G27" s="35"/>
      <c r="H27" s="35"/>
      <c r="I27" s="35"/>
    </row>
    <row r="28" spans="1:9" ht="15" customHeight="1" x14ac:dyDescent="0.25">
      <c r="A28" s="39" t="s">
        <v>208</v>
      </c>
      <c r="B28" s="35"/>
      <c r="C28" s="35"/>
      <c r="D28" s="35"/>
      <c r="E28" s="35"/>
      <c r="F28" s="35"/>
      <c r="G28" s="35"/>
      <c r="H28" s="35"/>
      <c r="I28" s="35"/>
    </row>
    <row r="30" spans="1:9" ht="15.95" customHeight="1" x14ac:dyDescent="0.25">
      <c r="A30" s="5"/>
      <c r="B30" s="6" t="s">
        <v>68</v>
      </c>
    </row>
    <row r="31" spans="1:9" ht="15.95" customHeight="1" x14ac:dyDescent="0.25">
      <c r="A31" s="7"/>
      <c r="B31" s="8" t="s">
        <v>69</v>
      </c>
    </row>
    <row r="32" spans="1:9" ht="15.95" customHeight="1" x14ac:dyDescent="0.25">
      <c r="A32" s="9"/>
      <c r="B32" s="10" t="s">
        <v>70</v>
      </c>
    </row>
    <row r="33" spans="1:32" ht="15.95" customHeight="1" x14ac:dyDescent="0.25">
      <c r="A33" s="11"/>
      <c r="B33" s="12" t="s">
        <v>71</v>
      </c>
    </row>
    <row r="35" spans="1:32" x14ac:dyDescent="0.25">
      <c r="A35" s="93">
        <v>2023</v>
      </c>
      <c r="B35" s="92"/>
      <c r="C35" s="92"/>
      <c r="D35" s="92"/>
      <c r="E35" s="92"/>
      <c r="F35" s="100"/>
      <c r="G35" s="92"/>
      <c r="H35" s="92"/>
      <c r="I35" s="92"/>
      <c r="J35" s="92"/>
      <c r="K35" s="96"/>
      <c r="L35" s="97"/>
      <c r="M35" s="92"/>
      <c r="N35" s="96"/>
      <c r="O35" s="96"/>
      <c r="P35" s="92"/>
      <c r="Q35" s="96"/>
      <c r="R35" s="96"/>
      <c r="S35" s="92"/>
      <c r="T35" s="92"/>
      <c r="U35" s="92"/>
      <c r="V35" s="92"/>
      <c r="W35" s="92"/>
      <c r="X35" s="92"/>
      <c r="Y35" s="92"/>
      <c r="Z35" s="76" t="s">
        <v>468</v>
      </c>
      <c r="AA35" s="76" t="s">
        <v>469</v>
      </c>
      <c r="AB35" s="76" t="s">
        <v>470</v>
      </c>
      <c r="AC35" s="76" t="s">
        <v>471</v>
      </c>
      <c r="AD35" s="76" t="s">
        <v>469</v>
      </c>
      <c r="AE35" s="76" t="s">
        <v>472</v>
      </c>
      <c r="AF35" s="76" t="s">
        <v>473</v>
      </c>
    </row>
    <row r="36" spans="1:32" x14ac:dyDescent="0.25">
      <c r="A36" s="92"/>
      <c r="B36" s="92"/>
      <c r="C36" s="79" t="s">
        <v>474</v>
      </c>
      <c r="D36" s="79"/>
      <c r="E36" s="89" t="s">
        <v>475</v>
      </c>
      <c r="F36" s="89"/>
      <c r="G36" s="79" t="s">
        <v>476</v>
      </c>
      <c r="H36" s="79"/>
      <c r="I36" s="79" t="s">
        <v>477</v>
      </c>
      <c r="J36" s="79"/>
      <c r="K36" s="65" t="s">
        <v>478</v>
      </c>
      <c r="L36" s="63"/>
      <c r="M36" s="87"/>
      <c r="N36" s="84" t="s">
        <v>479</v>
      </c>
      <c r="O36" s="67"/>
      <c r="P36" s="67"/>
      <c r="Q36" s="67"/>
      <c r="R36" s="67"/>
      <c r="S36" s="67"/>
      <c r="T36" s="67"/>
      <c r="U36" s="67"/>
      <c r="V36" s="66"/>
      <c r="W36" s="84" t="s">
        <v>480</v>
      </c>
      <c r="X36" s="67"/>
      <c r="Y36" s="66"/>
      <c r="Z36" s="76"/>
      <c r="AA36" s="76"/>
      <c r="AB36" s="76"/>
      <c r="AC36" s="76"/>
      <c r="AD36" s="76"/>
      <c r="AE36" s="76"/>
      <c r="AF36" s="86"/>
    </row>
    <row r="37" spans="1:32" x14ac:dyDescent="0.25">
      <c r="A37" s="92"/>
      <c r="B37" s="92"/>
      <c r="C37" s="79"/>
      <c r="D37" s="79"/>
      <c r="E37" s="89"/>
      <c r="F37" s="89"/>
      <c r="G37" s="79"/>
      <c r="H37" s="79"/>
      <c r="I37" s="79"/>
      <c r="J37" s="79"/>
      <c r="K37" s="64"/>
      <c r="L37" s="90"/>
      <c r="M37" s="88"/>
      <c r="N37" s="84" t="s">
        <v>481</v>
      </c>
      <c r="O37" s="67"/>
      <c r="P37" s="66"/>
      <c r="Q37" s="84" t="s">
        <v>482</v>
      </c>
      <c r="R37" s="67"/>
      <c r="S37" s="66"/>
      <c r="T37" s="84" t="s">
        <v>483</v>
      </c>
      <c r="U37" s="67"/>
      <c r="V37" s="66"/>
      <c r="W37" s="95" t="s">
        <v>481</v>
      </c>
      <c r="X37" s="95" t="s">
        <v>482</v>
      </c>
      <c r="Y37" s="95" t="s">
        <v>483</v>
      </c>
      <c r="Z37" s="86"/>
      <c r="AA37" s="86"/>
      <c r="AB37" s="86"/>
      <c r="AC37" s="86"/>
      <c r="AD37" s="86"/>
      <c r="AE37" s="86"/>
      <c r="AF37" s="95" t="s">
        <v>484</v>
      </c>
    </row>
    <row r="38" spans="1:32" ht="90" x14ac:dyDescent="0.25">
      <c r="A38" s="98" t="s">
        <v>485</v>
      </c>
      <c r="B38" s="94" t="s">
        <v>486</v>
      </c>
      <c r="C38" s="69">
        <v>154528.495</v>
      </c>
      <c r="D38" s="99" t="s">
        <v>58</v>
      </c>
      <c r="E38" s="105">
        <v>0.84499999999999997</v>
      </c>
      <c r="F38" s="99" t="s">
        <v>487</v>
      </c>
      <c r="G38" s="103">
        <v>9.9999999999999995E-7</v>
      </c>
      <c r="H38" s="94" t="s">
        <v>488</v>
      </c>
      <c r="I38" s="85">
        <f>C38*E38*G38</f>
        <v>0.13057657827499999</v>
      </c>
      <c r="J38" s="101" t="s">
        <v>489</v>
      </c>
      <c r="K38" s="101">
        <v>43</v>
      </c>
      <c r="L38" s="99" t="s">
        <v>490</v>
      </c>
      <c r="M38" s="99" t="s">
        <v>491</v>
      </c>
      <c r="N38" s="99">
        <v>74.099999999999994</v>
      </c>
      <c r="O38" s="99" t="s">
        <v>492</v>
      </c>
      <c r="P38" s="99" t="s">
        <v>493</v>
      </c>
      <c r="Q38" s="99">
        <v>3.8999999999999998E-3</v>
      </c>
      <c r="R38" s="99" t="s">
        <v>492</v>
      </c>
      <c r="S38" s="99" t="s">
        <v>493</v>
      </c>
      <c r="T38" s="99">
        <v>3.8999999999999998E-3</v>
      </c>
      <c r="U38" s="99" t="s">
        <v>492</v>
      </c>
      <c r="V38" s="99" t="s">
        <v>493</v>
      </c>
      <c r="W38" s="99">
        <f>(I38)*K38*(N38)*1</f>
        <v>416.05615135763247</v>
      </c>
      <c r="X38" s="106">
        <f>(I38)*K38*(Q38)*1</f>
        <v>2.1897692176717498E-2</v>
      </c>
      <c r="Y38" s="99">
        <f>(I38)*K38*(T38)</f>
        <v>2.1897692176717498E-2</v>
      </c>
      <c r="Z38" s="99">
        <v>29.8</v>
      </c>
      <c r="AA38" s="99" t="s">
        <v>494</v>
      </c>
      <c r="AB38" s="102">
        <f>X38*Z38</f>
        <v>0.6525512268661815</v>
      </c>
      <c r="AC38" s="99">
        <v>273</v>
      </c>
      <c r="AD38" s="99" t="s">
        <v>494</v>
      </c>
      <c r="AE38" s="102">
        <f>Y38*AC38</f>
        <v>5.9780699642438773</v>
      </c>
      <c r="AF38" s="104">
        <f t="shared" ref="AF38" si="1">SUM(W38+AB38+AE38)</f>
        <v>422.68677254874257</v>
      </c>
    </row>
  </sheetData>
  <mergeCells count="22">
    <mergeCell ref="AE35:AE37"/>
    <mergeCell ref="AF35:AF36"/>
    <mergeCell ref="C36:D37"/>
    <mergeCell ref="E36:F37"/>
    <mergeCell ref="G36:H37"/>
    <mergeCell ref="I36:J37"/>
    <mergeCell ref="K36:M37"/>
    <mergeCell ref="N36:V36"/>
    <mergeCell ref="W36:Y36"/>
    <mergeCell ref="N37:P37"/>
    <mergeCell ref="Q37:S37"/>
    <mergeCell ref="T37:V37"/>
    <mergeCell ref="Z35:Z37"/>
    <mergeCell ref="AA35:AA37"/>
    <mergeCell ref="AB35:AB37"/>
    <mergeCell ref="AC35:AC37"/>
    <mergeCell ref="AD35:AD37"/>
    <mergeCell ref="A27:I27"/>
    <mergeCell ref="A2:I2"/>
    <mergeCell ref="A26:I26"/>
    <mergeCell ref="A1:I1"/>
    <mergeCell ref="A28:I28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8"/>
  <sheetViews>
    <sheetView showGridLines="0" workbookViewId="0">
      <selection activeCell="G32" sqref="G32"/>
    </sheetView>
  </sheetViews>
  <sheetFormatPr defaultRowHeight="15" x14ac:dyDescent="0.25"/>
  <cols>
    <col min="1" max="1" width="8" customWidth="1"/>
    <col min="2" max="2" width="18" customWidth="1"/>
    <col min="3" max="4" width="14" customWidth="1"/>
    <col min="5" max="5" width="16" customWidth="1"/>
    <col min="6" max="6" width="25.140625" customWidth="1"/>
    <col min="7" max="7" width="33.42578125" customWidth="1"/>
    <col min="8" max="8" width="27.28515625" customWidth="1"/>
  </cols>
  <sheetData>
    <row r="1" spans="1:8" ht="33.950000000000003" customHeight="1" x14ac:dyDescent="0.25">
      <c r="A1" s="44" t="s">
        <v>243</v>
      </c>
      <c r="B1" s="35"/>
      <c r="C1" s="35"/>
      <c r="D1" s="35"/>
      <c r="E1" s="35"/>
      <c r="F1" s="35"/>
      <c r="G1" s="35"/>
    </row>
    <row r="2" spans="1:8" ht="15" customHeight="1" x14ac:dyDescent="0.25">
      <c r="A2" s="40" t="s">
        <v>37</v>
      </c>
      <c r="B2" s="35"/>
      <c r="C2" s="35"/>
      <c r="D2" s="35"/>
      <c r="E2" s="35"/>
      <c r="F2" s="35"/>
      <c r="G2" s="35"/>
    </row>
    <row r="3" spans="1:8" ht="38.1" customHeight="1" x14ac:dyDescent="0.25">
      <c r="A3" s="1" t="s">
        <v>38</v>
      </c>
      <c r="B3" s="29" t="s">
        <v>106</v>
      </c>
      <c r="C3" s="29" t="s">
        <v>107</v>
      </c>
      <c r="D3" s="1" t="s">
        <v>244</v>
      </c>
      <c r="E3" s="1" t="s">
        <v>245</v>
      </c>
      <c r="F3" s="1" t="s">
        <v>246</v>
      </c>
      <c r="G3" s="1" t="s">
        <v>110</v>
      </c>
      <c r="H3" s="1" t="s">
        <v>51</v>
      </c>
    </row>
    <row r="4" spans="1:8" ht="20.100000000000001" customHeight="1" x14ac:dyDescent="0.25">
      <c r="A4" s="2"/>
      <c r="B4" s="2"/>
      <c r="C4" s="58"/>
      <c r="D4" s="4"/>
      <c r="E4" s="4"/>
      <c r="F4" s="33"/>
      <c r="G4" s="33"/>
      <c r="H4" s="2"/>
    </row>
    <row r="5" spans="1:8" ht="20.100000000000001" customHeight="1" x14ac:dyDescent="0.25">
      <c r="A5" s="2"/>
      <c r="B5" s="2"/>
      <c r="C5" s="58"/>
      <c r="D5" s="4"/>
      <c r="E5" s="4"/>
      <c r="F5" s="33"/>
      <c r="G5" s="33"/>
      <c r="H5" s="2"/>
    </row>
    <row r="6" spans="1:8" ht="20.100000000000001" customHeight="1" x14ac:dyDescent="0.25">
      <c r="A6" s="2"/>
      <c r="B6" s="2"/>
      <c r="C6" s="4"/>
      <c r="D6" s="4"/>
      <c r="E6" s="4"/>
      <c r="F6" s="3"/>
      <c r="G6" s="3"/>
      <c r="H6" s="2"/>
    </row>
    <row r="7" spans="1:8" ht="20.100000000000001" customHeight="1" x14ac:dyDescent="0.25">
      <c r="A7" s="2"/>
      <c r="B7" s="2"/>
      <c r="C7" s="4"/>
      <c r="D7" s="4"/>
      <c r="E7" s="4"/>
      <c r="F7" s="3"/>
      <c r="G7" s="3"/>
      <c r="H7" s="2"/>
    </row>
    <row r="8" spans="1:8" ht="20.100000000000001" customHeight="1" x14ac:dyDescent="0.25">
      <c r="A8" s="2"/>
      <c r="B8" s="2"/>
      <c r="C8" s="4"/>
      <c r="D8" s="4"/>
      <c r="E8" s="4"/>
      <c r="F8" s="3"/>
      <c r="G8" s="3"/>
      <c r="H8" s="2"/>
    </row>
    <row r="9" spans="1:8" ht="20.100000000000001" customHeight="1" x14ac:dyDescent="0.25">
      <c r="A9" s="2"/>
      <c r="B9" s="2"/>
      <c r="C9" s="4"/>
      <c r="D9" s="4"/>
      <c r="E9" s="4"/>
      <c r="F9" s="3"/>
      <c r="G9" s="3"/>
      <c r="H9" s="2"/>
    </row>
    <row r="11" spans="1:8" ht="20.100000000000001" customHeight="1" x14ac:dyDescent="0.25">
      <c r="A11" s="41" t="s">
        <v>63</v>
      </c>
      <c r="B11" s="42"/>
      <c r="C11" s="42"/>
      <c r="D11" s="42"/>
      <c r="E11" s="42"/>
      <c r="F11" s="42"/>
      <c r="G11" s="43"/>
      <c r="H11" s="28"/>
    </row>
    <row r="12" spans="1:8" ht="15" customHeight="1" x14ac:dyDescent="0.25">
      <c r="A12" s="39" t="s">
        <v>247</v>
      </c>
      <c r="B12" s="35"/>
      <c r="C12" s="35"/>
      <c r="D12" s="35"/>
      <c r="E12" s="35"/>
      <c r="F12" s="35"/>
      <c r="G12" s="35"/>
    </row>
    <row r="13" spans="1:8" ht="15" customHeight="1" x14ac:dyDescent="0.25">
      <c r="A13" s="39" t="s">
        <v>248</v>
      </c>
      <c r="B13" s="35"/>
      <c r="C13" s="35"/>
      <c r="D13" s="35"/>
      <c r="E13" s="35"/>
      <c r="F13" s="35"/>
      <c r="G13" s="35"/>
    </row>
    <row r="15" spans="1:8" ht="15.95" customHeight="1" x14ac:dyDescent="0.25">
      <c r="A15" s="5"/>
      <c r="B15" s="6" t="s">
        <v>68</v>
      </c>
    </row>
    <row r="16" spans="1:8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13:G13"/>
    <mergeCell ref="A1:G1"/>
    <mergeCell ref="A12:G12"/>
    <mergeCell ref="A2:G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showGridLines="0" topLeftCell="A2" workbookViewId="0">
      <selection activeCell="C4" sqref="C4:C8"/>
    </sheetView>
  </sheetViews>
  <sheetFormatPr defaultRowHeight="15" x14ac:dyDescent="0.25"/>
  <cols>
    <col min="1" max="1" width="10" customWidth="1"/>
    <col min="2" max="2" width="32" customWidth="1"/>
    <col min="3" max="3" width="18" customWidth="1"/>
    <col min="4" max="4" width="24" customWidth="1"/>
    <col min="5" max="5" width="30" customWidth="1"/>
  </cols>
  <sheetData>
    <row r="1" spans="1:5" ht="33.950000000000003" customHeight="1" x14ac:dyDescent="0.25">
      <c r="A1" s="44" t="s">
        <v>249</v>
      </c>
      <c r="B1" s="35"/>
      <c r="C1" s="35"/>
      <c r="D1" s="35"/>
      <c r="E1" s="35"/>
    </row>
    <row r="2" spans="1:5" ht="15" customHeight="1" x14ac:dyDescent="0.25">
      <c r="A2" s="40" t="s">
        <v>250</v>
      </c>
      <c r="B2" s="35"/>
      <c r="C2" s="35"/>
      <c r="D2" s="35"/>
      <c r="E2" s="35"/>
    </row>
    <row r="3" spans="1:5" ht="32.1" customHeight="1" x14ac:dyDescent="0.25">
      <c r="A3" s="1" t="s">
        <v>38</v>
      </c>
      <c r="B3" s="1" t="s">
        <v>251</v>
      </c>
      <c r="C3" s="1" t="s">
        <v>252</v>
      </c>
      <c r="D3" s="1" t="s">
        <v>253</v>
      </c>
      <c r="E3" s="1" t="s">
        <v>51</v>
      </c>
    </row>
    <row r="4" spans="1:5" ht="20.100000000000001" customHeight="1" x14ac:dyDescent="0.25">
      <c r="A4" s="2">
        <v>2023</v>
      </c>
      <c r="B4" s="2" t="s">
        <v>254</v>
      </c>
      <c r="C4" s="2">
        <v>702</v>
      </c>
      <c r="D4" s="2" t="s">
        <v>255</v>
      </c>
      <c r="E4" s="2" t="s">
        <v>256</v>
      </c>
    </row>
    <row r="5" spans="1:5" ht="20.100000000000001" customHeight="1" x14ac:dyDescent="0.25">
      <c r="A5" s="2"/>
      <c r="B5" s="2"/>
      <c r="C5" s="2"/>
      <c r="D5" s="2"/>
      <c r="E5" s="2"/>
    </row>
    <row r="6" spans="1:5" ht="20.100000000000001" customHeight="1" x14ac:dyDescent="0.25">
      <c r="A6" s="2">
        <v>2024</v>
      </c>
      <c r="B6" s="2" t="s">
        <v>254</v>
      </c>
      <c r="C6" s="2">
        <v>774</v>
      </c>
      <c r="D6" s="2" t="s">
        <v>255</v>
      </c>
      <c r="E6" s="2" t="s">
        <v>256</v>
      </c>
    </row>
    <row r="7" spans="1:5" ht="20.100000000000001" customHeight="1" x14ac:dyDescent="0.25">
      <c r="A7" s="2"/>
      <c r="B7" s="2"/>
      <c r="C7" s="2"/>
      <c r="D7" s="2"/>
      <c r="E7" s="2"/>
    </row>
    <row r="8" spans="1:5" ht="20.100000000000001" customHeight="1" x14ac:dyDescent="0.25">
      <c r="A8" s="2">
        <v>2025</v>
      </c>
      <c r="B8" s="2" t="s">
        <v>254</v>
      </c>
      <c r="C8" s="2">
        <v>756</v>
      </c>
      <c r="D8" s="2" t="s">
        <v>255</v>
      </c>
      <c r="E8" s="2" t="s">
        <v>256</v>
      </c>
    </row>
    <row r="9" spans="1:5" ht="20.100000000000001" customHeight="1" x14ac:dyDescent="0.25">
      <c r="A9" s="2"/>
      <c r="B9" s="2"/>
      <c r="C9" s="2"/>
      <c r="D9" s="2"/>
      <c r="E9" s="2"/>
    </row>
    <row r="10" spans="1:5" ht="20.100000000000001" customHeight="1" x14ac:dyDescent="0.25">
      <c r="A10" s="2"/>
      <c r="B10" s="2"/>
      <c r="C10" s="2"/>
      <c r="D10" s="2"/>
      <c r="E10" s="2"/>
    </row>
    <row r="11" spans="1:5" ht="20.100000000000001" customHeight="1" x14ac:dyDescent="0.25">
      <c r="A11" s="2"/>
      <c r="B11" s="2"/>
      <c r="C11" s="2"/>
      <c r="D11" s="2"/>
      <c r="E11" s="2"/>
    </row>
    <row r="12" spans="1:5" ht="20.100000000000001" customHeight="1" x14ac:dyDescent="0.25">
      <c r="A12" s="2"/>
      <c r="B12" s="2"/>
      <c r="C12" s="2"/>
      <c r="D12" s="2"/>
      <c r="E12" s="2"/>
    </row>
    <row r="13" spans="1:5" ht="20.100000000000001" customHeight="1" x14ac:dyDescent="0.25">
      <c r="A13" s="2"/>
      <c r="B13" s="2"/>
      <c r="C13" s="2"/>
      <c r="D13" s="2"/>
      <c r="E13" s="2"/>
    </row>
    <row r="14" spans="1:5" ht="20.100000000000001" customHeight="1" x14ac:dyDescent="0.25">
      <c r="A14" s="2"/>
      <c r="B14" s="2"/>
      <c r="C14" s="2"/>
      <c r="D14" s="2"/>
      <c r="E14" s="2"/>
    </row>
    <row r="15" spans="1:5" ht="20.100000000000001" customHeight="1" x14ac:dyDescent="0.25">
      <c r="A15" s="2"/>
      <c r="B15" s="2"/>
      <c r="C15" s="2"/>
      <c r="D15" s="2"/>
      <c r="E15" s="2"/>
    </row>
    <row r="17" spans="1:5" x14ac:dyDescent="0.25">
      <c r="A17" s="41" t="s">
        <v>257</v>
      </c>
      <c r="B17" s="42"/>
      <c r="C17" s="42"/>
      <c r="D17" s="42"/>
      <c r="E17" s="43"/>
    </row>
    <row r="18" spans="1:5" ht="15" customHeight="1" x14ac:dyDescent="0.25">
      <c r="A18" s="39" t="s">
        <v>258</v>
      </c>
      <c r="B18" s="35"/>
      <c r="C18" s="35"/>
      <c r="D18" s="35"/>
      <c r="E18" s="35"/>
    </row>
    <row r="19" spans="1:5" ht="15" customHeight="1" x14ac:dyDescent="0.25">
      <c r="A19" s="39" t="s">
        <v>259</v>
      </c>
      <c r="B19" s="35"/>
      <c r="C19" s="35"/>
      <c r="D19" s="35"/>
      <c r="E19" s="35"/>
    </row>
    <row r="20" spans="1:5" ht="15" customHeight="1" x14ac:dyDescent="0.25">
      <c r="A20" s="39" t="s">
        <v>260</v>
      </c>
      <c r="B20" s="35"/>
      <c r="C20" s="35"/>
      <c r="D20" s="35"/>
      <c r="E20" s="35"/>
    </row>
    <row r="21" spans="1:5" ht="15" customHeight="1" x14ac:dyDescent="0.25">
      <c r="A21" s="39" t="s">
        <v>261</v>
      </c>
      <c r="B21" s="35"/>
      <c r="C21" s="35"/>
      <c r="D21" s="35"/>
      <c r="E21" s="35"/>
    </row>
    <row r="23" spans="1:5" ht="15.95" customHeight="1" x14ac:dyDescent="0.25">
      <c r="A23" s="5"/>
      <c r="B23" s="6" t="s">
        <v>68</v>
      </c>
    </row>
    <row r="24" spans="1:5" ht="15.95" customHeight="1" x14ac:dyDescent="0.25">
      <c r="A24" s="7"/>
      <c r="B24" s="8" t="s">
        <v>69</v>
      </c>
    </row>
    <row r="25" spans="1:5" ht="15.95" customHeight="1" x14ac:dyDescent="0.25">
      <c r="A25" s="9"/>
      <c r="B25" s="10" t="s">
        <v>70</v>
      </c>
    </row>
    <row r="26" spans="1:5" ht="15.95" customHeight="1" x14ac:dyDescent="0.25">
      <c r="A26" s="11"/>
      <c r="B26" s="12" t="s">
        <v>71</v>
      </c>
    </row>
    <row r="27" spans="1:5" ht="20.100000000000001" customHeight="1" x14ac:dyDescent="0.25">
      <c r="A27" s="22"/>
      <c r="B27" s="22"/>
      <c r="C27" s="22"/>
      <c r="D27" s="22"/>
      <c r="E27" s="22"/>
    </row>
    <row r="28" spans="1:5" ht="20.100000000000001" customHeight="1" x14ac:dyDescent="0.25">
      <c r="A28" s="22"/>
      <c r="B28" s="22"/>
      <c r="C28" s="22"/>
      <c r="D28" s="22"/>
      <c r="E28" s="22"/>
    </row>
    <row r="29" spans="1:5" ht="20.100000000000001" customHeight="1" x14ac:dyDescent="0.25">
      <c r="A29" s="22"/>
      <c r="B29" s="22"/>
      <c r="C29" s="22"/>
      <c r="D29" s="22"/>
      <c r="E29" s="22"/>
    </row>
    <row r="30" spans="1:5" ht="20.100000000000001" customHeight="1" x14ac:dyDescent="0.25">
      <c r="A30" s="22"/>
      <c r="B30" s="22"/>
      <c r="C30" s="22"/>
      <c r="D30" s="22"/>
      <c r="E30" s="22"/>
    </row>
  </sheetData>
  <mergeCells count="7">
    <mergeCell ref="A21:E21"/>
    <mergeCell ref="A20:E20"/>
    <mergeCell ref="A2:E2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4"/>
  <sheetViews>
    <sheetView showGridLines="0" workbookViewId="0">
      <selection activeCell="D8" sqref="D8"/>
    </sheetView>
  </sheetViews>
  <sheetFormatPr defaultRowHeight="15" x14ac:dyDescent="0.25"/>
  <cols>
    <col min="1" max="1" width="22" customWidth="1"/>
    <col min="2" max="2" width="38" customWidth="1"/>
    <col min="3" max="4" width="18" customWidth="1"/>
    <col min="5" max="5" width="14" customWidth="1"/>
    <col min="6" max="6" width="20" customWidth="1"/>
  </cols>
  <sheetData>
    <row r="1" spans="1:6" ht="33.950000000000003" customHeight="1" x14ac:dyDescent="0.25">
      <c r="A1" s="44" t="s">
        <v>262</v>
      </c>
      <c r="B1" s="35"/>
      <c r="C1" s="35"/>
      <c r="D1" s="35"/>
      <c r="E1" s="35"/>
      <c r="F1" s="35"/>
    </row>
    <row r="2" spans="1:6" ht="15" customHeight="1" x14ac:dyDescent="0.25">
      <c r="A2" s="40" t="s">
        <v>263</v>
      </c>
      <c r="B2" s="35"/>
      <c r="C2" s="35"/>
      <c r="D2" s="35"/>
      <c r="E2" s="35"/>
      <c r="F2" s="35"/>
    </row>
    <row r="3" spans="1:6" ht="32.1" customHeight="1" x14ac:dyDescent="0.25">
      <c r="A3" s="1" t="s">
        <v>264</v>
      </c>
      <c r="B3" s="1" t="s">
        <v>265</v>
      </c>
      <c r="C3" s="1" t="s">
        <v>266</v>
      </c>
      <c r="D3" s="1" t="s">
        <v>267</v>
      </c>
      <c r="E3" s="1" t="s">
        <v>268</v>
      </c>
      <c r="F3" s="1" t="s">
        <v>269</v>
      </c>
    </row>
    <row r="4" spans="1:6" ht="20.100000000000001" customHeight="1" x14ac:dyDescent="0.25">
      <c r="A4" s="13" t="s">
        <v>270</v>
      </c>
      <c r="B4" s="13" t="s">
        <v>271</v>
      </c>
      <c r="C4" s="13"/>
      <c r="D4" s="13"/>
      <c r="E4" s="13"/>
      <c r="F4" s="13"/>
    </row>
    <row r="5" spans="1:6" ht="20.100000000000001" customHeight="1" x14ac:dyDescent="0.25">
      <c r="A5" s="3" t="s">
        <v>272</v>
      </c>
      <c r="B5" s="3" t="s">
        <v>273</v>
      </c>
      <c r="C5" s="18">
        <v>0</v>
      </c>
      <c r="D5" s="18">
        <v>27.622699999999998</v>
      </c>
      <c r="E5" s="3"/>
      <c r="F5" s="3" t="s">
        <v>274</v>
      </c>
    </row>
    <row r="6" spans="1:6" ht="20.100000000000001" customHeight="1" x14ac:dyDescent="0.25">
      <c r="A6" s="3" t="s">
        <v>275</v>
      </c>
      <c r="B6" s="3" t="s">
        <v>276</v>
      </c>
      <c r="C6" s="18">
        <v>0</v>
      </c>
      <c r="D6" s="18">
        <v>492.34789999999998</v>
      </c>
      <c r="E6" s="3"/>
      <c r="F6" s="3" t="s">
        <v>277</v>
      </c>
    </row>
    <row r="7" spans="1:6" ht="20.100000000000001" customHeight="1" x14ac:dyDescent="0.25">
      <c r="A7" s="3" t="s">
        <v>278</v>
      </c>
      <c r="B7" s="3" t="s">
        <v>279</v>
      </c>
      <c r="C7" s="18">
        <v>0</v>
      </c>
      <c r="D7" s="18">
        <v>627.89089999999999</v>
      </c>
      <c r="E7" s="3"/>
      <c r="F7" s="3" t="s">
        <v>280</v>
      </c>
    </row>
    <row r="8" spans="1:6" ht="20.100000000000001" customHeight="1" x14ac:dyDescent="0.25">
      <c r="A8" s="14" t="s">
        <v>281</v>
      </c>
      <c r="B8" s="14" t="s">
        <v>282</v>
      </c>
      <c r="C8" s="19">
        <v>0</v>
      </c>
      <c r="D8" s="19">
        <v>1147.8599999999999</v>
      </c>
      <c r="E8" s="14"/>
      <c r="F8" s="14"/>
    </row>
    <row r="9" spans="1:6" ht="20.100000000000001" customHeight="1" x14ac:dyDescent="0.25">
      <c r="A9" s="15"/>
      <c r="B9" s="15"/>
      <c r="C9" s="15"/>
      <c r="D9" s="15"/>
      <c r="E9" s="15"/>
      <c r="F9" s="15"/>
    </row>
    <row r="10" spans="1:6" ht="20.100000000000001" customHeight="1" x14ac:dyDescent="0.25">
      <c r="A10" s="13" t="s">
        <v>283</v>
      </c>
      <c r="B10" s="13" t="s">
        <v>284</v>
      </c>
      <c r="C10" s="13"/>
      <c r="D10" s="13"/>
      <c r="E10" s="13"/>
      <c r="F10" s="13"/>
    </row>
    <row r="11" spans="1:6" ht="20.100000000000001" customHeight="1" x14ac:dyDescent="0.25">
      <c r="A11" s="3" t="s">
        <v>285</v>
      </c>
      <c r="B11" s="3" t="s">
        <v>286</v>
      </c>
      <c r="C11" s="18">
        <v>0</v>
      </c>
      <c r="D11" s="18">
        <v>664.21659999999997</v>
      </c>
      <c r="E11" s="3"/>
      <c r="F11" s="3" t="s">
        <v>287</v>
      </c>
    </row>
    <row r="12" spans="1:6" ht="20.100000000000001" customHeight="1" x14ac:dyDescent="0.25">
      <c r="A12" s="14" t="s">
        <v>288</v>
      </c>
      <c r="B12" s="14" t="s">
        <v>289</v>
      </c>
      <c r="C12" s="19">
        <v>0</v>
      </c>
      <c r="D12" s="19">
        <v>664.22</v>
      </c>
      <c r="E12" s="14"/>
      <c r="F12" s="14"/>
    </row>
    <row r="13" spans="1:6" ht="20.100000000000001" customHeight="1" x14ac:dyDescent="0.25">
      <c r="A13" s="15"/>
      <c r="B13" s="15"/>
      <c r="C13" s="15"/>
      <c r="D13" s="15"/>
      <c r="E13" s="15"/>
      <c r="F13" s="15"/>
    </row>
    <row r="14" spans="1:6" ht="20.100000000000001" customHeight="1" x14ac:dyDescent="0.25">
      <c r="A14" s="13" t="s">
        <v>290</v>
      </c>
      <c r="B14" s="13" t="s">
        <v>291</v>
      </c>
      <c r="C14" s="13"/>
      <c r="D14" s="13"/>
      <c r="E14" s="13"/>
      <c r="F14" s="13"/>
    </row>
    <row r="15" spans="1:6" ht="20.100000000000001" customHeight="1" x14ac:dyDescent="0.25">
      <c r="A15" s="3" t="s">
        <v>292</v>
      </c>
      <c r="B15" s="3" t="s">
        <v>124</v>
      </c>
      <c r="C15" s="18">
        <v>0</v>
      </c>
      <c r="D15" s="18">
        <v>0</v>
      </c>
      <c r="E15" s="3"/>
      <c r="F15" s="3" t="s">
        <v>293</v>
      </c>
    </row>
    <row r="16" spans="1:6" ht="20.100000000000001" customHeight="1" x14ac:dyDescent="0.25">
      <c r="A16" s="3" t="s">
        <v>294</v>
      </c>
      <c r="B16" s="3" t="s">
        <v>135</v>
      </c>
      <c r="C16" s="18">
        <v>0</v>
      </c>
      <c r="D16" s="18">
        <v>0</v>
      </c>
      <c r="E16" s="3"/>
      <c r="F16" s="3" t="s">
        <v>295</v>
      </c>
    </row>
    <row r="17" spans="1:6" ht="20.100000000000001" customHeight="1" x14ac:dyDescent="0.25">
      <c r="A17" s="3" t="s">
        <v>296</v>
      </c>
      <c r="B17" s="3" t="s">
        <v>297</v>
      </c>
      <c r="C17" s="18">
        <v>0</v>
      </c>
      <c r="D17" s="18">
        <v>0</v>
      </c>
      <c r="E17" s="3"/>
      <c r="F17" s="3" t="s">
        <v>298</v>
      </c>
    </row>
    <row r="18" spans="1:6" ht="20.100000000000001" customHeight="1" x14ac:dyDescent="0.25">
      <c r="A18" s="3" t="s">
        <v>299</v>
      </c>
      <c r="B18" s="3" t="s">
        <v>300</v>
      </c>
      <c r="C18" s="18">
        <v>0</v>
      </c>
      <c r="D18" s="18">
        <v>0</v>
      </c>
      <c r="E18" s="3"/>
      <c r="F18" s="3" t="s">
        <v>301</v>
      </c>
    </row>
    <row r="19" spans="1:6" ht="20.100000000000001" customHeight="1" x14ac:dyDescent="0.25">
      <c r="A19" s="3" t="s">
        <v>302</v>
      </c>
      <c r="B19" s="3" t="s">
        <v>303</v>
      </c>
      <c r="C19" s="18">
        <v>0</v>
      </c>
      <c r="D19" s="18">
        <v>0</v>
      </c>
      <c r="E19" s="3"/>
      <c r="F19" s="3" t="s">
        <v>304</v>
      </c>
    </row>
    <row r="20" spans="1:6" ht="20.100000000000001" customHeight="1" x14ac:dyDescent="0.25">
      <c r="A20" s="3" t="s">
        <v>305</v>
      </c>
      <c r="B20" s="3" t="s">
        <v>306</v>
      </c>
      <c r="C20" s="18">
        <v>0</v>
      </c>
      <c r="D20" s="18">
        <v>0</v>
      </c>
      <c r="E20" s="3"/>
      <c r="F20" s="3" t="s">
        <v>307</v>
      </c>
    </row>
    <row r="21" spans="1:6" ht="20.100000000000001" customHeight="1" x14ac:dyDescent="0.25">
      <c r="A21" s="3" t="s">
        <v>308</v>
      </c>
      <c r="B21" s="3" t="s">
        <v>309</v>
      </c>
      <c r="C21" s="18">
        <v>0</v>
      </c>
      <c r="D21" s="18">
        <v>0</v>
      </c>
      <c r="E21" s="3"/>
      <c r="F21" s="3" t="s">
        <v>310</v>
      </c>
    </row>
    <row r="22" spans="1:6" ht="20.100000000000001" customHeight="1" x14ac:dyDescent="0.25">
      <c r="A22" s="3" t="s">
        <v>311</v>
      </c>
      <c r="B22" s="3" t="s">
        <v>312</v>
      </c>
      <c r="C22" s="18">
        <v>0</v>
      </c>
      <c r="D22" s="18">
        <v>0</v>
      </c>
      <c r="E22" s="3"/>
      <c r="F22" s="3" t="s">
        <v>313</v>
      </c>
    </row>
    <row r="23" spans="1:6" ht="20.100000000000001" customHeight="1" x14ac:dyDescent="0.25">
      <c r="A23" s="3" t="s">
        <v>314</v>
      </c>
      <c r="B23" s="3" t="s">
        <v>315</v>
      </c>
      <c r="C23" s="18">
        <v>0</v>
      </c>
      <c r="D23" s="18">
        <v>0</v>
      </c>
      <c r="E23" s="3"/>
      <c r="F23" s="3" t="s">
        <v>316</v>
      </c>
    </row>
    <row r="24" spans="1:6" ht="20.100000000000001" customHeight="1" x14ac:dyDescent="0.25">
      <c r="A24" s="3" t="s">
        <v>317</v>
      </c>
      <c r="B24" s="3" t="s">
        <v>318</v>
      </c>
      <c r="C24" s="18">
        <v>0</v>
      </c>
      <c r="D24" s="18">
        <v>0</v>
      </c>
      <c r="E24" s="3"/>
      <c r="F24" s="3" t="s">
        <v>319</v>
      </c>
    </row>
    <row r="25" spans="1:6" ht="20.100000000000001" customHeight="1" x14ac:dyDescent="0.25">
      <c r="A25" s="3" t="s">
        <v>320</v>
      </c>
      <c r="B25" s="3" t="s">
        <v>321</v>
      </c>
      <c r="C25" s="18">
        <v>36.9983</v>
      </c>
      <c r="D25" s="18">
        <v>62.314599999999999</v>
      </c>
      <c r="E25" s="3"/>
      <c r="F25" s="3" t="s">
        <v>322</v>
      </c>
    </row>
    <row r="26" spans="1:6" ht="20.100000000000001" customHeight="1" x14ac:dyDescent="0.25">
      <c r="A26" s="14" t="s">
        <v>323</v>
      </c>
      <c r="B26" s="14" t="s">
        <v>324</v>
      </c>
      <c r="C26" s="19">
        <v>37</v>
      </c>
      <c r="D26" s="19">
        <v>62.31</v>
      </c>
      <c r="E26" s="14"/>
      <c r="F26" s="14"/>
    </row>
    <row r="27" spans="1:6" ht="20.100000000000001" customHeight="1" x14ac:dyDescent="0.25">
      <c r="A27" s="15"/>
      <c r="B27" s="15"/>
      <c r="C27" s="15"/>
      <c r="D27" s="15"/>
      <c r="E27" s="15"/>
      <c r="F27" s="15"/>
    </row>
    <row r="28" spans="1:6" ht="20.100000000000001" customHeight="1" x14ac:dyDescent="0.25">
      <c r="A28" s="13" t="s">
        <v>325</v>
      </c>
      <c r="B28" s="13" t="s">
        <v>326</v>
      </c>
      <c r="C28" s="19">
        <v>37</v>
      </c>
      <c r="D28" s="19">
        <v>1874.39</v>
      </c>
      <c r="E28" s="13"/>
      <c r="F28" s="13"/>
    </row>
    <row r="31" spans="1:6" ht="15.95" customHeight="1" x14ac:dyDescent="0.25">
      <c r="A31" s="5"/>
      <c r="B31" s="6" t="s">
        <v>68</v>
      </c>
    </row>
    <row r="32" spans="1:6" ht="15.95" customHeight="1" x14ac:dyDescent="0.25">
      <c r="A32" s="7"/>
      <c r="B32" s="8" t="s">
        <v>69</v>
      </c>
    </row>
    <row r="33" spans="1:2" ht="15.95" customHeight="1" x14ac:dyDescent="0.25">
      <c r="A33" s="9"/>
      <c r="B33" s="10" t="s">
        <v>70</v>
      </c>
    </row>
    <row r="34" spans="1:2" ht="15.95" customHeight="1" x14ac:dyDescent="0.25">
      <c r="A34" s="11"/>
      <c r="B34" s="12" t="s">
        <v>71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5"/>
  <sheetViews>
    <sheetView showGridLines="0" workbookViewId="0">
      <selection sqref="A1:G1"/>
    </sheetView>
  </sheetViews>
  <sheetFormatPr defaultRowHeight="15" x14ac:dyDescent="0.25"/>
  <cols>
    <col min="1" max="1" width="8" customWidth="1"/>
    <col min="2" max="2" width="12" customWidth="1"/>
    <col min="3" max="3" width="14" customWidth="1"/>
    <col min="4" max="4" width="38" customWidth="1"/>
    <col min="5" max="5" width="16" customWidth="1"/>
    <col min="6" max="6" width="22" customWidth="1"/>
    <col min="7" max="7" width="16" customWidth="1"/>
  </cols>
  <sheetData>
    <row r="1" spans="1:7" ht="33.950000000000003" customHeight="1" x14ac:dyDescent="0.25">
      <c r="A1" s="44" t="s">
        <v>327</v>
      </c>
      <c r="B1" s="35"/>
      <c r="C1" s="35"/>
      <c r="D1" s="35"/>
      <c r="E1" s="35"/>
      <c r="F1" s="35"/>
      <c r="G1" s="35"/>
    </row>
    <row r="2" spans="1:7" ht="15" customHeight="1" x14ac:dyDescent="0.25">
      <c r="A2" s="40" t="s">
        <v>328</v>
      </c>
      <c r="B2" s="35"/>
      <c r="C2" s="35"/>
      <c r="D2" s="35"/>
      <c r="E2" s="35"/>
      <c r="F2" s="35"/>
      <c r="G2" s="35"/>
    </row>
    <row r="3" spans="1:7" ht="32.1" customHeight="1" x14ac:dyDescent="0.25">
      <c r="A3" s="1" t="s">
        <v>329</v>
      </c>
      <c r="B3" s="1" t="s">
        <v>330</v>
      </c>
      <c r="C3" s="1" t="s">
        <v>117</v>
      </c>
      <c r="D3" s="1" t="s">
        <v>39</v>
      </c>
      <c r="E3" s="1" t="s">
        <v>331</v>
      </c>
      <c r="F3" s="1" t="s">
        <v>332</v>
      </c>
      <c r="G3" s="1" t="s">
        <v>333</v>
      </c>
    </row>
    <row r="4" spans="1:7" ht="20.100000000000001" customHeight="1" x14ac:dyDescent="0.25">
      <c r="A4" s="20">
        <v>1</v>
      </c>
      <c r="B4" s="20" t="s">
        <v>334</v>
      </c>
      <c r="C4" s="20" t="s">
        <v>285</v>
      </c>
      <c r="D4" s="20" t="s">
        <v>286</v>
      </c>
      <c r="E4" s="20">
        <v>664.21659999999997</v>
      </c>
      <c r="F4" s="20">
        <v>35.44</v>
      </c>
      <c r="G4" s="20">
        <v>35.44</v>
      </c>
    </row>
    <row r="5" spans="1:7" ht="20.100000000000001" customHeight="1" x14ac:dyDescent="0.25">
      <c r="A5" s="20">
        <v>2</v>
      </c>
      <c r="B5" s="20" t="s">
        <v>335</v>
      </c>
      <c r="C5" s="20" t="s">
        <v>278</v>
      </c>
      <c r="D5" s="20" t="s">
        <v>279</v>
      </c>
      <c r="E5" s="20">
        <v>627.89089999999999</v>
      </c>
      <c r="F5" s="20">
        <v>33.5</v>
      </c>
      <c r="G5" s="20">
        <v>68.930000000000007</v>
      </c>
    </row>
    <row r="6" spans="1:7" ht="20.100000000000001" customHeight="1" x14ac:dyDescent="0.25">
      <c r="A6" s="18">
        <v>3</v>
      </c>
      <c r="B6" s="18" t="s">
        <v>335</v>
      </c>
      <c r="C6" s="18" t="s">
        <v>275</v>
      </c>
      <c r="D6" s="18" t="s">
        <v>276</v>
      </c>
      <c r="E6" s="18">
        <v>492.34789999999998</v>
      </c>
      <c r="F6" s="18">
        <v>26.27</v>
      </c>
      <c r="G6" s="18">
        <v>95.2</v>
      </c>
    </row>
    <row r="7" spans="1:7" ht="20.100000000000001" customHeight="1" x14ac:dyDescent="0.25">
      <c r="A7" s="18">
        <v>4</v>
      </c>
      <c r="B7" s="18" t="s">
        <v>336</v>
      </c>
      <c r="C7" s="18" t="s">
        <v>320</v>
      </c>
      <c r="D7" s="18" t="s">
        <v>321</v>
      </c>
      <c r="E7" s="18">
        <v>62.314599999999999</v>
      </c>
      <c r="F7" s="18">
        <v>3.32</v>
      </c>
      <c r="G7" s="18">
        <v>98.53</v>
      </c>
    </row>
    <row r="8" spans="1:7" ht="20.100000000000001" customHeight="1" x14ac:dyDescent="0.25">
      <c r="A8" s="18">
        <v>5</v>
      </c>
      <c r="B8" s="18" t="s">
        <v>335</v>
      </c>
      <c r="C8" s="18" t="s">
        <v>272</v>
      </c>
      <c r="D8" s="18" t="s">
        <v>273</v>
      </c>
      <c r="E8" s="18">
        <v>27.622699999999998</v>
      </c>
      <c r="F8" s="18">
        <v>1.47</v>
      </c>
      <c r="G8" s="18">
        <v>100</v>
      </c>
    </row>
    <row r="9" spans="1:7" ht="20.100000000000001" customHeight="1" x14ac:dyDescent="0.25">
      <c r="A9" s="51" t="s">
        <v>337</v>
      </c>
      <c r="B9" s="42"/>
      <c r="C9" s="42"/>
      <c r="D9" s="42"/>
      <c r="E9" s="42"/>
      <c r="F9" s="42"/>
      <c r="G9" s="43"/>
    </row>
    <row r="10" spans="1:7" x14ac:dyDescent="0.25">
      <c r="A10" s="21"/>
      <c r="B10" s="21"/>
      <c r="C10" s="21"/>
      <c r="D10" s="21"/>
      <c r="E10" s="21"/>
      <c r="F10" s="21"/>
      <c r="G10" s="21"/>
    </row>
    <row r="11" spans="1:7" x14ac:dyDescent="0.25">
      <c r="A11" s="21"/>
      <c r="B11" s="21"/>
      <c r="C11" s="21"/>
      <c r="D11" s="21"/>
      <c r="E11" s="21"/>
      <c r="F11" s="21"/>
      <c r="G11" s="21"/>
    </row>
    <row r="12" spans="1:7" ht="20.100000000000001" customHeight="1" x14ac:dyDescent="0.25">
      <c r="A12" s="52"/>
      <c r="B12" s="42"/>
      <c r="C12" s="42"/>
      <c r="D12" s="42"/>
      <c r="E12" s="42"/>
      <c r="F12" s="42"/>
      <c r="G12" s="43"/>
    </row>
    <row r="13" spans="1:7" ht="15" customHeight="1" x14ac:dyDescent="0.25">
      <c r="A13" s="50"/>
      <c r="B13" s="35"/>
      <c r="C13" s="35"/>
      <c r="D13" s="35"/>
      <c r="E13" s="35"/>
      <c r="F13" s="35"/>
      <c r="G13" s="35"/>
    </row>
    <row r="14" spans="1:7" ht="15" customHeight="1" x14ac:dyDescent="0.25">
      <c r="A14" s="50"/>
      <c r="B14" s="35"/>
      <c r="C14" s="35"/>
      <c r="D14" s="35"/>
      <c r="E14" s="35"/>
      <c r="F14" s="35"/>
      <c r="G14" s="35"/>
    </row>
    <row r="15" spans="1:7" ht="15" customHeight="1" x14ac:dyDescent="0.25">
      <c r="A15" s="50"/>
      <c r="B15" s="35"/>
      <c r="C15" s="35"/>
      <c r="D15" s="35"/>
      <c r="E15" s="35"/>
      <c r="F15" s="35"/>
      <c r="G15" s="35"/>
    </row>
    <row r="16" spans="1:7" ht="15" customHeight="1" x14ac:dyDescent="0.25">
      <c r="A16" s="50"/>
      <c r="B16" s="35"/>
      <c r="C16" s="35"/>
      <c r="D16" s="35"/>
      <c r="E16" s="35"/>
      <c r="F16" s="35"/>
      <c r="G16" s="35"/>
    </row>
    <row r="17" spans="1:7" ht="15" customHeight="1" x14ac:dyDescent="0.25">
      <c r="A17" s="50"/>
      <c r="B17" s="35"/>
      <c r="C17" s="35"/>
      <c r="D17" s="35"/>
      <c r="E17" s="35"/>
      <c r="F17" s="35"/>
      <c r="G17" s="35"/>
    </row>
    <row r="18" spans="1:7" x14ac:dyDescent="0.25">
      <c r="A18" s="21"/>
      <c r="B18" s="21"/>
      <c r="C18" s="21"/>
      <c r="D18" s="21"/>
      <c r="E18" s="21"/>
      <c r="F18" s="21"/>
      <c r="G18" s="21"/>
    </row>
    <row r="19" spans="1:7" x14ac:dyDescent="0.25">
      <c r="A19" s="21"/>
      <c r="B19" s="21"/>
      <c r="C19" s="21"/>
      <c r="D19" s="21"/>
      <c r="E19" s="21"/>
      <c r="F19" s="21"/>
      <c r="G19" s="21"/>
    </row>
    <row r="20" spans="1:7" x14ac:dyDescent="0.25">
      <c r="A20" s="21"/>
      <c r="B20" s="21"/>
      <c r="C20" s="21"/>
      <c r="D20" s="21"/>
      <c r="E20" s="21"/>
      <c r="F20" s="21"/>
      <c r="G20" s="21"/>
    </row>
    <row r="21" spans="1:7" x14ac:dyDescent="0.25">
      <c r="A21" s="21"/>
      <c r="B21" s="21"/>
      <c r="C21" s="21"/>
      <c r="D21" s="21"/>
      <c r="E21" s="21"/>
      <c r="F21" s="21"/>
      <c r="G21" s="21"/>
    </row>
    <row r="22" spans="1:7" x14ac:dyDescent="0.25">
      <c r="A22" s="21"/>
      <c r="B22" s="21"/>
      <c r="C22" s="21"/>
      <c r="D22" s="21"/>
      <c r="E22" s="21"/>
      <c r="F22" s="21"/>
      <c r="G22" s="21"/>
    </row>
    <row r="23" spans="1:7" x14ac:dyDescent="0.25">
      <c r="A23" s="21"/>
      <c r="B23" s="21"/>
      <c r="C23" s="21"/>
      <c r="D23" s="21"/>
      <c r="E23" s="21"/>
      <c r="F23" s="21"/>
      <c r="G23" s="21"/>
    </row>
    <row r="24" spans="1:7" x14ac:dyDescent="0.25">
      <c r="A24" s="21"/>
      <c r="B24" s="21"/>
      <c r="C24" s="21"/>
      <c r="D24" s="21"/>
      <c r="E24" s="21"/>
      <c r="F24" s="21"/>
      <c r="G24" s="21"/>
    </row>
    <row r="25" spans="1:7" x14ac:dyDescent="0.25">
      <c r="A25" s="21"/>
      <c r="B25" s="21"/>
      <c r="C25" s="21"/>
      <c r="D25" s="21"/>
      <c r="E25" s="21"/>
      <c r="F25" s="21"/>
      <c r="G25" s="21"/>
    </row>
    <row r="26" spans="1:7" x14ac:dyDescent="0.25">
      <c r="A26" s="21"/>
      <c r="B26" s="21"/>
      <c r="C26" s="21"/>
      <c r="D26" s="21"/>
      <c r="E26" s="21"/>
      <c r="F26" s="21"/>
      <c r="G26" s="21"/>
    </row>
    <row r="27" spans="1:7" x14ac:dyDescent="0.25">
      <c r="A27" s="21"/>
      <c r="B27" s="21"/>
      <c r="C27" s="21"/>
      <c r="D27" s="21"/>
      <c r="E27" s="21"/>
      <c r="F27" s="21"/>
      <c r="G27" s="21"/>
    </row>
    <row r="28" spans="1:7" x14ac:dyDescent="0.25">
      <c r="A28" s="21"/>
      <c r="B28" s="21"/>
      <c r="C28" s="21"/>
      <c r="D28" s="21"/>
      <c r="E28" s="21"/>
      <c r="F28" s="21"/>
      <c r="G28" s="21"/>
    </row>
    <row r="29" spans="1:7" x14ac:dyDescent="0.25">
      <c r="A29" s="21"/>
      <c r="B29" s="21"/>
      <c r="C29" s="21"/>
      <c r="D29" s="21"/>
      <c r="E29" s="21"/>
      <c r="F29" s="21"/>
      <c r="G29" s="21"/>
    </row>
    <row r="30" spans="1:7" x14ac:dyDescent="0.25">
      <c r="A30" s="21"/>
      <c r="B30" s="21"/>
      <c r="C30" s="21"/>
      <c r="D30" s="21"/>
      <c r="E30" s="21"/>
      <c r="F30" s="21"/>
      <c r="G30" s="21"/>
    </row>
    <row r="31" spans="1:7" x14ac:dyDescent="0.25">
      <c r="A31" s="21"/>
      <c r="B31" s="21"/>
      <c r="C31" s="21"/>
      <c r="D31" s="21"/>
      <c r="E31" s="21"/>
      <c r="F31" s="21"/>
      <c r="G31" s="21"/>
    </row>
    <row r="32" spans="1:7" x14ac:dyDescent="0.25">
      <c r="A32" s="21"/>
      <c r="B32" s="21"/>
      <c r="C32" s="21"/>
      <c r="D32" s="21"/>
      <c r="E32" s="21"/>
      <c r="F32" s="21"/>
      <c r="G32" s="21"/>
    </row>
    <row r="33" spans="1:7" x14ac:dyDescent="0.25">
      <c r="A33" s="21"/>
      <c r="B33" s="21"/>
      <c r="C33" s="21"/>
      <c r="D33" s="21"/>
      <c r="E33" s="21"/>
      <c r="F33" s="21"/>
      <c r="G33" s="21"/>
    </row>
    <row r="34" spans="1:7" x14ac:dyDescent="0.25">
      <c r="A34" s="21"/>
      <c r="B34" s="21"/>
      <c r="C34" s="21"/>
      <c r="D34" s="21"/>
      <c r="E34" s="21"/>
      <c r="F34" s="21"/>
      <c r="G34" s="21"/>
    </row>
    <row r="35" spans="1:7" x14ac:dyDescent="0.25">
      <c r="A35" s="21"/>
      <c r="B35" s="21"/>
      <c r="C35" s="21"/>
      <c r="D35" s="21"/>
      <c r="E35" s="21"/>
      <c r="F35" s="21"/>
      <c r="G35" s="21"/>
    </row>
  </sheetData>
  <mergeCells count="9">
    <mergeCell ref="A13:G13"/>
    <mergeCell ref="A14:G14"/>
    <mergeCell ref="A1:G1"/>
    <mergeCell ref="A17:G17"/>
    <mergeCell ref="A9:G9"/>
    <mergeCell ref="A12:G12"/>
    <mergeCell ref="A2:G2"/>
    <mergeCell ref="A16:G16"/>
    <mergeCell ref="A15:G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0"/>
  <sheetViews>
    <sheetView showGridLines="0" tabSelected="1" workbookViewId="0">
      <selection activeCell="D6" sqref="D6"/>
    </sheetView>
  </sheetViews>
  <sheetFormatPr defaultRowHeight="15" x14ac:dyDescent="0.25"/>
  <cols>
    <col min="1" max="1" width="8" customWidth="1"/>
    <col min="2" max="2" width="30" customWidth="1"/>
    <col min="3" max="3" width="16" customWidth="1"/>
    <col min="4" max="4" width="18" customWidth="1"/>
    <col min="5" max="7" width="16" customWidth="1"/>
    <col min="8" max="8" width="18" customWidth="1"/>
  </cols>
  <sheetData>
    <row r="1" spans="1:8" ht="33.950000000000003" customHeight="1" x14ac:dyDescent="0.25">
      <c r="A1" s="44" t="s">
        <v>338</v>
      </c>
      <c r="B1" s="35"/>
      <c r="C1" s="35"/>
      <c r="D1" s="35"/>
      <c r="E1" s="35"/>
      <c r="F1" s="35"/>
      <c r="G1" s="35"/>
    </row>
    <row r="2" spans="1:8" ht="15" customHeight="1" x14ac:dyDescent="0.25">
      <c r="A2" s="40" t="s">
        <v>339</v>
      </c>
      <c r="B2" s="35"/>
      <c r="C2" s="35"/>
      <c r="D2" s="35"/>
      <c r="E2" s="35"/>
      <c r="F2" s="35"/>
      <c r="G2" s="35"/>
    </row>
    <row r="3" spans="1:8" ht="32.1" customHeight="1" x14ac:dyDescent="0.25">
      <c r="A3" s="1" t="s">
        <v>38</v>
      </c>
      <c r="B3" s="1" t="s">
        <v>340</v>
      </c>
      <c r="C3" s="1" t="s">
        <v>252</v>
      </c>
      <c r="D3" s="1" t="s">
        <v>341</v>
      </c>
      <c r="E3" s="1" t="s">
        <v>342</v>
      </c>
      <c r="F3" s="1" t="s">
        <v>343</v>
      </c>
      <c r="G3" s="1" t="s">
        <v>344</v>
      </c>
      <c r="H3" s="1" t="s">
        <v>345</v>
      </c>
    </row>
    <row r="4" spans="1:8" ht="20.100000000000001" customHeight="1" x14ac:dyDescent="0.25">
      <c r="A4" s="22">
        <v>2023</v>
      </c>
      <c r="B4" s="22" t="s">
        <v>254</v>
      </c>
      <c r="C4" s="2">
        <v>702</v>
      </c>
      <c r="D4" s="22">
        <v>11.9503</v>
      </c>
      <c r="E4" s="22">
        <v>0</v>
      </c>
      <c r="F4" s="22">
        <v>0</v>
      </c>
      <c r="G4" s="22">
        <v>11.9503</v>
      </c>
      <c r="H4" s="22">
        <v>4.7800000000000002E-2</v>
      </c>
    </row>
    <row r="5" spans="1:8" ht="20.100000000000001" customHeight="1" x14ac:dyDescent="0.25">
      <c r="A5" s="22">
        <v>2024</v>
      </c>
      <c r="B5" s="22" t="s">
        <v>254</v>
      </c>
      <c r="C5" s="2">
        <v>774</v>
      </c>
      <c r="D5" s="22">
        <v>18.1645</v>
      </c>
      <c r="E5" s="22">
        <v>0</v>
      </c>
      <c r="F5" s="22">
        <v>0</v>
      </c>
      <c r="G5" s="22">
        <v>18.1645</v>
      </c>
      <c r="H5" s="22">
        <v>4.7800000000000002E-2</v>
      </c>
    </row>
    <row r="6" spans="1:8" ht="20.100000000000001" customHeight="1" x14ac:dyDescent="0.25">
      <c r="A6" s="22">
        <v>2025</v>
      </c>
      <c r="B6" s="22" t="s">
        <v>254</v>
      </c>
      <c r="C6" s="2">
        <v>756</v>
      </c>
      <c r="D6" s="22">
        <v>4.3021000000000003</v>
      </c>
      <c r="E6" s="22">
        <v>0</v>
      </c>
      <c r="F6" s="22">
        <v>0</v>
      </c>
      <c r="G6" s="22">
        <v>4.3021000000000003</v>
      </c>
      <c r="H6" s="22">
        <v>4.7800000000000002E-2</v>
      </c>
    </row>
    <row r="7" spans="1:8" ht="20.100000000000001" customHeight="1" x14ac:dyDescent="0.25">
      <c r="A7" s="22"/>
      <c r="B7" s="22"/>
      <c r="C7" s="2"/>
      <c r="D7" s="22"/>
      <c r="E7" s="22"/>
      <c r="F7" s="22"/>
      <c r="G7" s="22"/>
      <c r="H7" s="22"/>
    </row>
    <row r="8" spans="1:8" ht="20.100000000000001" customHeight="1" x14ac:dyDescent="0.25">
      <c r="A8" s="19"/>
      <c r="B8" s="19"/>
      <c r="C8" s="19"/>
      <c r="D8" s="19"/>
      <c r="E8" s="19"/>
      <c r="F8" s="19"/>
      <c r="G8" s="19"/>
      <c r="H8" s="19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ht="20.100000000000001" customHeight="1" x14ac:dyDescent="0.25">
      <c r="A11" s="52"/>
      <c r="B11" s="42"/>
      <c r="C11" s="42"/>
      <c r="D11" s="42"/>
      <c r="E11" s="42"/>
      <c r="F11" s="42"/>
      <c r="G11" s="42"/>
      <c r="H11" s="43"/>
    </row>
    <row r="12" spans="1:8" ht="15" customHeight="1" x14ac:dyDescent="0.25">
      <c r="A12" s="50"/>
      <c r="B12" s="35"/>
      <c r="C12" s="35"/>
      <c r="D12" s="35"/>
      <c r="E12" s="35"/>
      <c r="F12" s="35"/>
      <c r="G12" s="35"/>
      <c r="H12" s="35"/>
    </row>
    <row r="13" spans="1:8" ht="15" customHeight="1" x14ac:dyDescent="0.25">
      <c r="A13" s="50"/>
      <c r="B13" s="35"/>
      <c r="C13" s="35"/>
      <c r="D13" s="35"/>
      <c r="E13" s="35"/>
      <c r="F13" s="35"/>
      <c r="G13" s="35"/>
      <c r="H13" s="35"/>
    </row>
    <row r="14" spans="1:8" ht="15" customHeight="1" x14ac:dyDescent="0.25">
      <c r="A14" s="50"/>
      <c r="B14" s="35"/>
      <c r="C14" s="35"/>
      <c r="D14" s="35"/>
      <c r="E14" s="35"/>
      <c r="F14" s="35"/>
      <c r="G14" s="35"/>
      <c r="H14" s="35"/>
    </row>
    <row r="15" spans="1:8" ht="15" customHeight="1" x14ac:dyDescent="0.25">
      <c r="A15" s="50"/>
      <c r="B15" s="35"/>
      <c r="C15" s="35"/>
      <c r="D15" s="35"/>
      <c r="E15" s="35"/>
      <c r="F15" s="35"/>
      <c r="G15" s="35"/>
      <c r="H15" s="35"/>
    </row>
    <row r="16" spans="1:8" x14ac:dyDescent="0.25">
      <c r="A16" s="21"/>
      <c r="B16" s="21"/>
      <c r="C16" s="21"/>
      <c r="D16" s="21"/>
      <c r="E16" s="21"/>
      <c r="F16" s="21"/>
      <c r="G16" s="21"/>
      <c r="H16" s="21"/>
    </row>
    <row r="17" spans="1:8" ht="15.95" customHeight="1" x14ac:dyDescent="0.25">
      <c r="A17" s="23"/>
      <c r="B17" s="24"/>
      <c r="C17" s="21"/>
      <c r="D17" s="21"/>
      <c r="E17" s="21"/>
      <c r="F17" s="21"/>
      <c r="G17" s="21"/>
      <c r="H17" s="21"/>
    </row>
    <row r="18" spans="1:8" ht="15.95" customHeight="1" x14ac:dyDescent="0.25">
      <c r="A18" s="23"/>
      <c r="B18" s="25"/>
      <c r="C18" s="21"/>
      <c r="D18" s="21"/>
      <c r="E18" s="21"/>
      <c r="F18" s="21"/>
      <c r="G18" s="21"/>
      <c r="H18" s="21"/>
    </row>
    <row r="19" spans="1:8" ht="15.95" customHeight="1" x14ac:dyDescent="0.25">
      <c r="A19" s="23"/>
      <c r="B19" s="26"/>
      <c r="C19" s="21"/>
      <c r="D19" s="21"/>
      <c r="E19" s="21"/>
      <c r="F19" s="21"/>
      <c r="G19" s="21"/>
      <c r="H19" s="21"/>
    </row>
    <row r="20" spans="1:8" ht="15.95" customHeight="1" x14ac:dyDescent="0.25">
      <c r="A20" s="23"/>
      <c r="B20" s="27"/>
      <c r="C20" s="21"/>
      <c r="D20" s="21"/>
      <c r="E20" s="21"/>
      <c r="F20" s="21"/>
      <c r="G20" s="21"/>
      <c r="H20" s="21"/>
    </row>
    <row r="21" spans="1:8" x14ac:dyDescent="0.25">
      <c r="A21" s="21"/>
      <c r="B21" s="21"/>
      <c r="C21" s="21"/>
      <c r="D21" s="21"/>
      <c r="E21" s="21"/>
      <c r="F21" s="21"/>
      <c r="G21" s="21"/>
      <c r="H21" s="21"/>
    </row>
    <row r="22" spans="1:8" x14ac:dyDescent="0.25">
      <c r="A22" s="21"/>
      <c r="B22" s="21"/>
      <c r="C22" s="21"/>
      <c r="D22" s="21"/>
      <c r="E22" s="21"/>
      <c r="F22" s="21"/>
      <c r="G22" s="21"/>
      <c r="H22" s="21"/>
    </row>
    <row r="23" spans="1:8" x14ac:dyDescent="0.25">
      <c r="A23" s="21"/>
      <c r="B23" s="21"/>
      <c r="C23" s="21"/>
      <c r="D23" s="21"/>
      <c r="E23" s="21"/>
      <c r="F23" s="21"/>
      <c r="G23" s="21"/>
      <c r="H23" s="21"/>
    </row>
    <row r="24" spans="1:8" x14ac:dyDescent="0.25">
      <c r="A24" s="21"/>
      <c r="B24" s="21"/>
      <c r="C24" s="21"/>
      <c r="D24" s="21"/>
      <c r="E24" s="21"/>
      <c r="F24" s="21"/>
      <c r="G24" s="21"/>
      <c r="H24" s="21"/>
    </row>
    <row r="25" spans="1:8" x14ac:dyDescent="0.25">
      <c r="A25" s="21"/>
      <c r="B25" s="21"/>
      <c r="C25" s="21"/>
      <c r="D25" s="21"/>
      <c r="E25" s="21"/>
      <c r="F25" s="21"/>
      <c r="G25" s="21"/>
      <c r="H25" s="21"/>
    </row>
    <row r="26" spans="1:8" x14ac:dyDescent="0.25">
      <c r="A26" s="21"/>
      <c r="B26" s="21"/>
      <c r="C26" s="21"/>
      <c r="D26" s="21"/>
      <c r="E26" s="21"/>
      <c r="F26" s="21"/>
      <c r="G26" s="21"/>
      <c r="H26" s="21"/>
    </row>
    <row r="27" spans="1:8" x14ac:dyDescent="0.25">
      <c r="A27" s="21"/>
      <c r="B27" s="21"/>
      <c r="C27" s="21"/>
      <c r="D27" s="21"/>
      <c r="E27" s="21"/>
      <c r="F27" s="21"/>
      <c r="G27" s="21"/>
      <c r="H27" s="21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1"/>
      <c r="B30" s="21"/>
      <c r="C30" s="21"/>
      <c r="D30" s="21"/>
      <c r="E30" s="21"/>
      <c r="F30" s="21"/>
      <c r="G30" s="21"/>
      <c r="H30" s="21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  <row r="33" spans="1:8" x14ac:dyDescent="0.25">
      <c r="A33" s="21"/>
      <c r="B33" s="21"/>
      <c r="C33" s="21"/>
      <c r="D33" s="21"/>
      <c r="E33" s="21"/>
      <c r="F33" s="21"/>
      <c r="G33" s="21"/>
      <c r="H33" s="21"/>
    </row>
    <row r="34" spans="1:8" x14ac:dyDescent="0.25">
      <c r="A34" s="21"/>
      <c r="B34" s="21"/>
      <c r="C34" s="21"/>
      <c r="D34" s="21"/>
      <c r="E34" s="21"/>
      <c r="F34" s="21"/>
      <c r="G34" s="21"/>
      <c r="H34" s="21"/>
    </row>
    <row r="35" spans="1:8" x14ac:dyDescent="0.25">
      <c r="A35" s="21"/>
      <c r="B35" s="21"/>
      <c r="C35" s="21"/>
      <c r="D35" s="21"/>
      <c r="E35" s="21"/>
      <c r="F35" s="21"/>
      <c r="G35" s="21"/>
      <c r="H35" s="21"/>
    </row>
    <row r="36" spans="1:8" x14ac:dyDescent="0.25">
      <c r="A36" s="21"/>
      <c r="B36" s="21"/>
      <c r="C36" s="21"/>
      <c r="D36" s="21"/>
      <c r="E36" s="21"/>
      <c r="F36" s="21"/>
      <c r="G36" s="21"/>
      <c r="H36" s="21"/>
    </row>
    <row r="37" spans="1:8" x14ac:dyDescent="0.25">
      <c r="A37" s="21"/>
      <c r="B37" s="21"/>
      <c r="C37" s="21"/>
      <c r="D37" s="21"/>
      <c r="E37" s="21"/>
      <c r="F37" s="21"/>
      <c r="G37" s="21"/>
      <c r="H37" s="21"/>
    </row>
    <row r="38" spans="1:8" x14ac:dyDescent="0.25">
      <c r="A38" s="21"/>
      <c r="B38" s="21"/>
      <c r="C38" s="21"/>
      <c r="D38" s="21"/>
      <c r="E38" s="21"/>
      <c r="F38" s="21"/>
      <c r="G38" s="21"/>
      <c r="H38" s="21"/>
    </row>
    <row r="39" spans="1:8" x14ac:dyDescent="0.25">
      <c r="A39" s="21"/>
      <c r="B39" s="21"/>
      <c r="C39" s="21"/>
      <c r="D39" s="21"/>
      <c r="E39" s="21"/>
      <c r="F39" s="21"/>
      <c r="G39" s="21"/>
      <c r="H39" s="21"/>
    </row>
    <row r="40" spans="1:8" x14ac:dyDescent="0.25">
      <c r="A40" s="21"/>
      <c r="B40" s="21"/>
      <c r="C40" s="21"/>
      <c r="D40" s="21"/>
      <c r="E40" s="21"/>
      <c r="F40" s="21"/>
      <c r="G40" s="21"/>
      <c r="H40" s="21"/>
    </row>
  </sheetData>
  <mergeCells count="7">
    <mergeCell ref="A12:H12"/>
    <mergeCell ref="A1:G1"/>
    <mergeCell ref="A15:H15"/>
    <mergeCell ref="A13:H13"/>
    <mergeCell ref="A2:G2"/>
    <mergeCell ref="A11:H11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20</vt:i4>
      </vt:variant>
    </vt:vector>
  </HeadingPairs>
  <TitlesOfParts>
    <vt:vector size="20" baseType="lpstr">
      <vt:lpstr>README</vt:lpstr>
      <vt:lpstr>1.1_Stationary</vt:lpstr>
      <vt:lpstr>1.2_Mobile</vt:lpstr>
      <vt:lpstr>1.4_Refrigerants</vt:lpstr>
      <vt:lpstr>2.1_Electricity</vt:lpstr>
      <vt:lpstr>3.1_Freight</vt:lpstr>
      <vt:lpstr>3.2_ProductShipment</vt:lpstr>
      <vt:lpstr>3.3_Commuting</vt:lpstr>
      <vt:lpstr>3.4_BusinessTravel</vt:lpstr>
      <vt:lpstr>3.5_FlightsHotels</vt:lpstr>
      <vt:lpstr>4.1_Purchased</vt:lpstr>
      <vt:lpstr>4.2_Capital</vt:lpstr>
      <vt:lpstr>4.3_Waste</vt:lpstr>
      <vt:lpstr>4.4_LeasedEquipment</vt:lpstr>
      <vt:lpstr>4.5_Services</vt:lpstr>
      <vt:lpstr>6.1_TDLosses</vt:lpstr>
      <vt:lpstr>PERSONNEL</vt:lpstr>
      <vt:lpstr>TOTAL_EMISSIONS</vt:lpstr>
      <vt:lpstr>IMPACT_ANALYSIS</vt:lpstr>
      <vt:lpstr>PER_CAPITA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YILDIZ</cp:lastModifiedBy>
  <dcterms:created xsi:type="dcterms:W3CDTF">2026-04-09T14:44:01Z</dcterms:created>
  <dcterms:modified xsi:type="dcterms:W3CDTF">2026-04-13T10:25:14Z</dcterms:modified>
</cp:coreProperties>
</file>