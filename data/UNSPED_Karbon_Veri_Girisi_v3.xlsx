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Desktop\carbon_project\data\"/>
    </mc:Choice>
  </mc:AlternateContent>
  <xr:revisionPtr revIDLastSave="0" documentId="13_ncr:1_{A8903EC8-13F7-44FB-9DC5-47B440A9A01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ADME" sheetId="1" r:id="rId1"/>
    <sheet name="1.1_Stationary" sheetId="2" r:id="rId2"/>
    <sheet name="1.2_Mobile" sheetId="3" r:id="rId3"/>
    <sheet name="1.4_Refrigerants" sheetId="4" r:id="rId4"/>
    <sheet name="2.1_Electricity" sheetId="5" r:id="rId5"/>
    <sheet name="3.1_Freight" sheetId="6" r:id="rId6"/>
    <sheet name="3.2_ProductShipment" sheetId="7" r:id="rId7"/>
    <sheet name="3.3_Commuting" sheetId="8" r:id="rId8"/>
    <sheet name="3.4_BusinessTravel" sheetId="9" r:id="rId9"/>
    <sheet name="3.5_FlightsHotels" sheetId="10" r:id="rId10"/>
    <sheet name="4.1_Purchased" sheetId="11" r:id="rId11"/>
    <sheet name="4.2_Capital" sheetId="12" r:id="rId12"/>
    <sheet name="4.3_Waste" sheetId="13" r:id="rId13"/>
    <sheet name="4.4_LeasedEquipment" sheetId="14" r:id="rId14"/>
    <sheet name="4.5_Services" sheetId="15" r:id="rId15"/>
    <sheet name="6.1_TDLosses" sheetId="16" r:id="rId16"/>
    <sheet name="PERSONNEL" sheetId="17" r:id="rId17"/>
    <sheet name="TOTAL_EMISSIONS" sheetId="18" r:id="rId18"/>
    <sheet name="IMPACT_ANALYSIS" sheetId="19" r:id="rId19"/>
    <sheet name="PER_CAPITA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6" l="1"/>
  <c r="F4" i="16"/>
  <c r="F8" i="10"/>
  <c r="F7" i="10"/>
  <c r="F6" i="10"/>
  <c r="F5" i="10"/>
  <c r="F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UNSPED Importer</author>
  </authors>
  <commentList>
    <comment ref="F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🔄 Birim dönüşümü yapıldı:
[2.1_Electricity] Elektrik: 1416240.0 kWh → 1416.240000 MWh</t>
        </r>
      </text>
    </comment>
  </commentList>
</comments>
</file>

<file path=xl/sharedStrings.xml><?xml version="1.0" encoding="utf-8"?>
<sst xmlns="http://schemas.openxmlformats.org/spreadsheetml/2006/main" count="726" uniqueCount="358">
  <si>
    <t>UNSPED — KARBON AYAK İZİ VERİ GİRİŞ ŞABLONU v3</t>
  </si>
  <si>
    <t>NASIL KULLANILIR</t>
  </si>
  <si>
    <t>1.  Alt sekmelerde her emisyon kategorisi için ilgili sayfayı açın.</t>
  </si>
  <si>
    <t>2.  MAVİ hücreleri doldurun. YEŞİL hücreler online'dan otomatik dolar — gerekirse üzerine yazın.</t>
  </si>
  <si>
    <t>3.  GRİ hücrelere dokunmayın — sistem hesaplar.</t>
  </si>
  <si>
    <t>4.  Dosyayı kaydedin ve importer'ı çalıştırın:   python pipeline/importer.py</t>
  </si>
  <si>
    <t>5.  Sistem bu dosyayı okur, DB'den + online'dan emisyon faktörlerini çeker,</t>
  </si>
  <si>
    <t xml:space="preserve">    CO2e hesaplayıp sonuçları otomatik kaydeder.</t>
  </si>
  <si>
    <t>RENK KODLARI</t>
  </si>
  <si>
    <t xml:space="preserve">  🔵 MAVİ     — Siz doldurursunuz (aktivite verisi)</t>
  </si>
  <si>
    <t xml:space="preserve">  🟢 YEŞİL    — Online'dan otomatik dolar, üzerine yazabilirsiniz (emisyon faktörleri)</t>
  </si>
  <si>
    <t xml:space="preserve">  ⚪ GRİ      — Hesaplanan, dokunmayın</t>
  </si>
  <si>
    <t xml:space="preserve">  🟡 SARI     — Toplamlar</t>
  </si>
  <si>
    <t>SAYFALAR</t>
  </si>
  <si>
    <t xml:space="preserve">  1.1_Stationary        — Sabit yakma (doğalgaz, motorin, benzin)</t>
  </si>
  <si>
    <t xml:space="preserve">  1.2_Mobile            — Hareketli yakma (şirket araçları)</t>
  </si>
  <si>
    <t xml:space="preserve">  1.4_Refrigerants      — Soğutucu gazlar</t>
  </si>
  <si>
    <t xml:space="preserve">  2.1_Electricity       — Elektrik tüketimi</t>
  </si>
  <si>
    <t xml:space="preserve">  3.1_Freight           — Hammadde sevkiyatı</t>
  </si>
  <si>
    <t xml:space="preserve">  3.2_ProductShipment   — Ürün sevkiyatı</t>
  </si>
  <si>
    <t xml:space="preserve">  3.3_Commuting         — Personel işe gidiş gelişleri</t>
  </si>
  <si>
    <t xml:space="preserve">  3.4_BusinessTravel    — İş seyahati karayolu</t>
  </si>
  <si>
    <t xml:space="preserve">  3.5_FlightsHotels     — Uçak &amp; konaklama</t>
  </si>
  <si>
    <t xml:space="preserve">  4.1_Purchased         — Satın alınan malzemeler</t>
  </si>
  <si>
    <t xml:space="preserve">  4.2_Capital           — Sermaye varlıkları</t>
  </si>
  <si>
    <t xml:space="preserve">  4.3_Waste             — Atık bertarafı</t>
  </si>
  <si>
    <t xml:space="preserve">  4.4_LeasedEquipment   — Kiralanan ekipmanlar</t>
  </si>
  <si>
    <t xml:space="preserve">  4.5_Services          — Hizmet alımları</t>
  </si>
  <si>
    <t xml:space="preserve">  6.1_TDLosses          — İletim &amp; dağıtım kayıpları</t>
  </si>
  <si>
    <t xml:space="preserve">  PERSONNEL             — Lokasyon &amp; personel sayısı ← SİZ GİRİN</t>
  </si>
  <si>
    <t xml:space="preserve">  TOTAL_EMISSIONS       — Tüm kapsamlar özet toplam</t>
  </si>
  <si>
    <t xml:space="preserve">  IMPACT_ANALYSIS       — %95 etkili emisyon kaynakları</t>
  </si>
  <si>
    <t xml:space="preserve">  PER_CAPITA            — Lokasyon başına ton CO2e / kişi</t>
  </si>
  <si>
    <t>ÖNEMLİ</t>
  </si>
  <si>
    <t xml:space="preserve">  • Sütun eklemeyin/silmeyin. Sekme adlarını değiştirmeyin.</t>
  </si>
  <si>
    <t xml:space="preserve">  • Veri tablolarının altına satır ekleyebilirsiniz.</t>
  </si>
  <si>
    <t>1.1 — Sabit Yakma Kaynaklı Emisyonlar</t>
  </si>
  <si>
    <t>MAVİ = siz doldurun  |  YEŞİL = online'dan otomatik, üzerine yazılabilir  |  GRİ = hesaplanan, dokunmayın</t>
  </si>
  <si>
    <t>Yıl</t>
  </si>
  <si>
    <t>Emisyon Kaynağı</t>
  </si>
  <si>
    <t>Yakıt Türü</t>
  </si>
  <si>
    <t>Miktar</t>
  </si>
  <si>
    <t>Birim
(Sabit)</t>
  </si>
  <si>
    <t>NCV
(TJ/Gg)
🟢 Online</t>
  </si>
  <si>
    <t>EF CO2
(Ton/TJ)
🟢 Online</t>
  </si>
  <si>
    <t>EF CH4
(Ton/TJ)
🟢 Online</t>
  </si>
  <si>
    <t>EF N2O
(Ton/TJ)
🟢 Online</t>
  </si>
  <si>
    <t>GWP CH4
🟢 Online</t>
  </si>
  <si>
    <t>GWP N2O
🟢 Online</t>
  </si>
  <si>
    <t>Yoğunluk
(ton/birim)
🟢 Online</t>
  </si>
  <si>
    <t>CO2e
(ton)
⚪ Hesaplanan</t>
  </si>
  <si>
    <t>Not</t>
  </si>
  <si>
    <t>Kombi</t>
  </si>
  <si>
    <t>natural_gas</t>
  </si>
  <si>
    <t>m³</t>
  </si>
  <si>
    <t>Ana bina ısıtma</t>
  </si>
  <si>
    <t>Jeneratörler</t>
  </si>
  <si>
    <t>diesel</t>
  </si>
  <si>
    <t>L</t>
  </si>
  <si>
    <t>Yedek jeneratör</t>
  </si>
  <si>
    <t>Yangın Tatb.</t>
  </si>
  <si>
    <t>Tatbikat</t>
  </si>
  <si>
    <t>petrol</t>
  </si>
  <si>
    <t>NOTLAR VE KAYNAKLAR</t>
  </si>
  <si>
    <t>• YEŞİL hücreler (NCV, EF, GWP, Yoğunluk) importer çalıştığında online'dan otomatik güncellenir.</t>
  </si>
  <si>
    <t>• İstediğiniz değeri manuel olarak üzerine yazabilirsiniz — sistem DB'ye kaydeder.</t>
  </si>
  <si>
    <t>• Yakıt türü: natural_gas (m³) | diesel (L) | petrol (L)</t>
  </si>
  <si>
    <t>• Kaynak: IPCC 2006 Kılavuzu REF#3 &amp; REF#5</t>
  </si>
  <si>
    <t>← YOU FILL THESE (blue)</t>
  </si>
  <si>
    <t>← AUTO-FILLED FROM ONLINE — you can override (green)</t>
  </si>
  <si>
    <t>← DO NOT EDIT — calculated by system (grey)</t>
  </si>
  <si>
    <t>← TOTALS (yellow)</t>
  </si>
  <si>
    <t>1.2 — Hareketli Yakma — Şirket Araçları</t>
  </si>
  <si>
    <t>Binek Araçlar</t>
  </si>
  <si>
    <t>Benzin araçlar</t>
  </si>
  <si>
    <t>Dizel araçlar</t>
  </si>
  <si>
    <t>• Kaynak: IPCC 2006 REF#3 &amp; REF#5</t>
  </si>
  <si>
    <t>1.4 — Soğutucu Gaz Kaçakları</t>
  </si>
  <si>
    <t>Gaz Türü</t>
  </si>
  <si>
    <t>Kaçak Miktar (kg)</t>
  </si>
  <si>
    <t>Birim</t>
  </si>
  <si>
    <t>GWP
🟢 Online</t>
  </si>
  <si>
    <t>CO2e (ton)
⚪</t>
  </si>
  <si>
    <t>R134A</t>
  </si>
  <si>
    <t>kg</t>
  </si>
  <si>
    <t>Klima sistemi</t>
  </si>
  <si>
    <t>R600A</t>
  </si>
  <si>
    <t>Soğutma</t>
  </si>
  <si>
    <t>R410A</t>
  </si>
  <si>
    <t>Klima</t>
  </si>
  <si>
    <t>R32</t>
  </si>
  <si>
    <t>Split klima</t>
  </si>
  <si>
    <t>R407c</t>
  </si>
  <si>
    <t>Klima dolumu</t>
  </si>
  <si>
    <t>HFC236fa</t>
  </si>
  <si>
    <t>Yangın söndürme</t>
  </si>
  <si>
    <t>HFC227ea</t>
  </si>
  <si>
    <t>FM200</t>
  </si>
  <si>
    <t xml:space="preserve">FK-5-1-12 </t>
  </si>
  <si>
    <t>• GWP değerleri IPCC AR6'dan otomatik çekilir, üzerine yazılabilir.</t>
  </si>
  <si>
    <t>• CO2e = Miktar (kg) × GWP ÷ 1000  →  ton CO2e</t>
  </si>
  <si>
    <t>• Kaynak: IPCC AR6 2021</t>
  </si>
  <si>
    <t>2.1 — Elektrik Tüketimi (Kapsam 2)</t>
  </si>
  <si>
    <t>Tüketim
(kWh/MWh/GWh)</t>
  </si>
  <si>
    <t>Birim
🟢 Değiştirilebilir</t>
  </si>
  <si>
    <t>EF
(ton CO2e/MWh)
🟢 Online</t>
  </si>
  <si>
    <t>EF Kaynak</t>
  </si>
  <si>
    <t>kWh</t>
  </si>
  <si>
    <t>TEİAŞ/EPDK REF#10</t>
  </si>
  <si>
    <t>2023 tüketim</t>
  </si>
  <si>
    <t>• EF online'dan otomatik güncellenir, üzerine yazılabilir.</t>
  </si>
  <si>
    <t>• Tüketim kWh → importer MWh'ye çevirir.</t>
  </si>
  <si>
    <t>• Kaynak: TEİAŞ/EPDK</t>
  </si>
  <si>
    <t>3.1 — Hammadde Sevkiyatı</t>
  </si>
  <si>
    <t>Kategori</t>
  </si>
  <si>
    <t>Taşıma Tipi</t>
  </si>
  <si>
    <t>Araç Tipi</t>
  </si>
  <si>
    <t>Mesafe
(km/mil/m)</t>
  </si>
  <si>
    <t>EF
(kg CO2e/tkm)
🟢 Online</t>
  </si>
  <si>
    <t>3.1.1</t>
  </si>
  <si>
    <t>Hammadde Sevkiyatı</t>
  </si>
  <si>
    <t>Karayolu-%100 Laden</t>
  </si>
  <si>
    <t>All HGVs</t>
  </si>
  <si>
    <t>km</t>
  </si>
  <si>
    <t>3.1.2</t>
  </si>
  <si>
    <t>Karayolu (Dizel)</t>
  </si>
  <si>
    <t>Small Car</t>
  </si>
  <si>
    <t>• EF DEFRA'dan otomatik çekilir, üzerine yazılabilir.</t>
  </si>
  <si>
    <t>• Kaynak: DEFRA UK GHG Conversion Factors</t>
  </si>
  <si>
    <t>3.2 — Ürün Sevkiyatı</t>
  </si>
  <si>
    <t>3.2.1</t>
  </si>
  <si>
    <t>Ürün Sevkiyatı</t>
  </si>
  <si>
    <t>3.2.2</t>
  </si>
  <si>
    <t>• 3.1 hammadde, 3.2 ürün/çıktı sevkiyatı içindir.</t>
  </si>
  <si>
    <t>3.3 — Personel İşe Gidiş Gelişleri</t>
  </si>
  <si>
    <t>NCV
🟢 Online</t>
  </si>
  <si>
    <t>EF CO2
🟢 Online</t>
  </si>
  <si>
    <t>EF CH4
🟢 Online</t>
  </si>
  <si>
    <t>EF N2O
🟢 Online</t>
  </si>
  <si>
    <t>GWP CH4
🟢</t>
  </si>
  <si>
    <t>GWP N2O
🟢</t>
  </si>
  <si>
    <t>Yoğunluk
🟢</t>
  </si>
  <si>
    <t>3.3.1</t>
  </si>
  <si>
    <t>Şahsi Araç</t>
  </si>
  <si>
    <t>3.3.2</t>
  </si>
  <si>
    <t>3.3.3</t>
  </si>
  <si>
    <t>Servis Araçları</t>
  </si>
  <si>
    <t>diesel_shuttle</t>
  </si>
  <si>
    <t>• Yakıt türü: petrol | diesel | diesel_shuttle</t>
  </si>
  <si>
    <t>3.4 — İş Seyahati — Karayolu</t>
  </si>
  <si>
    <t>3.4.1</t>
  </si>
  <si>
    <t>İş Seyahati</t>
  </si>
  <si>
    <t>3.4.2</t>
  </si>
  <si>
    <t>Karayolu (Benzin)</t>
  </si>
  <si>
    <t>• İş amacıyla yapılan karayolu seyahatleri.</t>
  </si>
  <si>
    <t>3.5 — Uçak Bileti &amp; Konaklama</t>
  </si>
  <si>
    <t>Kalem</t>
  </si>
  <si>
    <t>Miktar (TL)</t>
  </si>
  <si>
    <t>Dolar Kuru
(TL/USD)</t>
  </si>
  <si>
    <t>2022 USD
⚪</t>
  </si>
  <si>
    <t>EF
(ton CO2e/2021 USD)
🟢 Online</t>
  </si>
  <si>
    <t>3.5.1</t>
  </si>
  <si>
    <t>Uçak Bileti Yurt İçi</t>
  </si>
  <si>
    <t>3.5.2</t>
  </si>
  <si>
    <t>Uçak Bileti Yurt Dışı</t>
  </si>
  <si>
    <t>3.5.3</t>
  </si>
  <si>
    <t>Konaklama - TR</t>
  </si>
  <si>
    <t>Gece/Oda</t>
  </si>
  <si>
    <t>3.5.4</t>
  </si>
  <si>
    <t>Konaklama - Almanya</t>
  </si>
  <si>
    <t>3.5.5</t>
  </si>
  <si>
    <t>Konaklama - İtalya</t>
  </si>
  <si>
    <t>• TL + dolar kuru girin → 2021 USD otomatik hesaplanır.</t>
  </si>
  <si>
    <t>• EF online'dan otomatik çekilir, üzerine yazılabilir.</t>
  </si>
  <si>
    <t>• Kaynak: EPA SupplyChain GHG v1.2 &amp; DEFRA</t>
  </si>
  <si>
    <t>4.1 — Satın Alınan Ürün ve Malzemeler</t>
  </si>
  <si>
    <t>Ürün Adı</t>
  </si>
  <si>
    <t>Miktar/USD</t>
  </si>
  <si>
    <t>EF
(kg CO2e/birim)
🟢 Online</t>
  </si>
  <si>
    <t>EF Kaynak
🟢</t>
  </si>
  <si>
    <t>4.1.1</t>
  </si>
  <si>
    <t>Printer-Kağıt</t>
  </si>
  <si>
    <t>Ton</t>
  </si>
  <si>
    <t>DEFRA</t>
  </si>
  <si>
    <t>4.1.2</t>
  </si>
  <si>
    <t>Printer-Toner</t>
  </si>
  <si>
    <t>2021 USD</t>
  </si>
  <si>
    <t>SupplyChainGHG v1.2</t>
  </si>
  <si>
    <t>4.1.3</t>
  </si>
  <si>
    <t>Baskılı Malzemeler</t>
  </si>
  <si>
    <t>4.1.4</t>
  </si>
  <si>
    <t>Promosyon Malzemeleri</t>
  </si>
  <si>
    <t>4.1.5</t>
  </si>
  <si>
    <t>Gıda Malzemeleri</t>
  </si>
  <si>
    <t>• Kaynak: DEFRA &amp; EPA Supply Chain GHG Emission Factors v1.2</t>
  </si>
  <si>
    <t>4.2 — Sermaye Niteliğindeki Varlıklar</t>
  </si>
  <si>
    <t>Varlık Adı</t>
  </si>
  <si>
    <t>Tutar (2021 USD)</t>
  </si>
  <si>
    <t>Amortisman (Yıl)</t>
  </si>
  <si>
    <t>EF
(kg CO2e/2021 USD)
🟢 Online</t>
  </si>
  <si>
    <t>4.2.1</t>
  </si>
  <si>
    <t>Bilgi İşlem Cihazları</t>
  </si>
  <si>
    <t>4.2.2</t>
  </si>
  <si>
    <t>Motorlu Araçlar</t>
  </si>
  <si>
    <t>4.2.3</t>
  </si>
  <si>
    <t>Network Cihazları</t>
  </si>
  <si>
    <t>4.2.4</t>
  </si>
  <si>
    <t>Elektronik - Ar-Ge</t>
  </si>
  <si>
    <t>• Formül: CO2e = (Tutar × EF) / (Amortisman × 1000)  →  ton CO2e</t>
  </si>
  <si>
    <t>• Kaynak: EPA Supply Chain GHG Emission Factors v1.2</t>
  </si>
  <si>
    <t>4.3 — Atık Bertarafı</t>
  </si>
  <si>
    <t>Atık Türü</t>
  </si>
  <si>
    <t>Miktar (kg)</t>
  </si>
  <si>
    <t>EF
(kg CO2e/kg)
🟢 Online</t>
  </si>
  <si>
    <t>4.3.1</t>
  </si>
  <si>
    <t>Atık Cam</t>
  </si>
  <si>
    <t>DEFRA 2023</t>
  </si>
  <si>
    <t>4.3.2</t>
  </si>
  <si>
    <t>Atık Kağıt</t>
  </si>
  <si>
    <t>4.3.3</t>
  </si>
  <si>
    <t>Atık Metal</t>
  </si>
  <si>
    <t>4.3.4</t>
  </si>
  <si>
    <t>Atık Piller</t>
  </si>
  <si>
    <t>4.3.5</t>
  </si>
  <si>
    <t>Atık Plastik</t>
  </si>
  <si>
    <t>• CO2e = Miktar (kg) × EF / 1000  →  ton CO2e</t>
  </si>
  <si>
    <t>• Kaynak: DEFRA GHG Conversion Factors 2023</t>
  </si>
  <si>
    <t>4.4 — Kiralanan Ekipmanlar</t>
  </si>
  <si>
    <t>Ekipman Adı</t>
  </si>
  <si>
    <t>4.4.1</t>
  </si>
  <si>
    <t>Televizyon Kiralık</t>
  </si>
  <si>
    <t>4.4.2</t>
  </si>
  <si>
    <t>• CO2e = (Tutar × EF) / 1000  →  ton CO2e</t>
  </si>
  <si>
    <t>4.5 — Hizmet Alımları</t>
  </si>
  <si>
    <t>Hizmet Adı</t>
  </si>
  <si>
    <t>4.5.1</t>
  </si>
  <si>
    <t>Temizlik Hizmeti</t>
  </si>
  <si>
    <t>4.5.2</t>
  </si>
  <si>
    <t>Güvenlik Hizmeti</t>
  </si>
  <si>
    <t>4.5.3</t>
  </si>
  <si>
    <t>Catering (Yemek)</t>
  </si>
  <si>
    <t>4.5.4</t>
  </si>
  <si>
    <t>Nakliye Hizmeti</t>
  </si>
  <si>
    <t>4.5.5</t>
  </si>
  <si>
    <t>Kargo Hizmeti</t>
  </si>
  <si>
    <t>6.1 — Elektrik İletim &amp; Dağıtım Kayıpları</t>
  </si>
  <si>
    <t>Konum EF
(ton CO2e/MWh)
🟢</t>
  </si>
  <si>
    <t>Pazar EF
(ton CO2e/MWh)
🟢</t>
  </si>
  <si>
    <t>T&amp;D Kayıp EF
(fark)
⚪</t>
  </si>
  <si>
    <t>T&amp;D kayıp = Pazar - Konum</t>
  </si>
  <si>
    <t>• CO2e = Tüketim (kWh) / 1000 × T&amp;D Kayıp EF  →  ton CO2e</t>
  </si>
  <si>
    <t>• Kaynak: TEİAŞ / EPDK</t>
  </si>
  <si>
    <t>PERSONEL — Lokasyon &amp; Kişi Sayısı</t>
  </si>
  <si>
    <t>Lokasyon adı ve yıllık ortalama personel sayısını girin. PER_CAPITA sayfası buradan otomatik hesaplar.</t>
  </si>
  <si>
    <t>Lokasyon Adı</t>
  </si>
  <si>
    <t>Personel Sayısı</t>
  </si>
  <si>
    <t>Lokasyon Türü</t>
  </si>
  <si>
    <t>Genel Müdürlük</t>
  </si>
  <si>
    <t>Ofis</t>
  </si>
  <si>
    <t>İstanbul merkez</t>
  </si>
  <si>
    <t>Fabrika - İstanbul</t>
  </si>
  <si>
    <t>Üretim</t>
  </si>
  <si>
    <t>İstanbul fabrika</t>
  </si>
  <si>
    <t>Depo - Ankara</t>
  </si>
  <si>
    <t>Lojistik</t>
  </si>
  <si>
    <t>Ankara depo</t>
  </si>
  <si>
    <t>Şube - İzmir</t>
  </si>
  <si>
    <t>İzmir satış şubesi</t>
  </si>
  <si>
    <t>NOTLAR</t>
  </si>
  <si>
    <t>• Her yıl için tüm lokasyonları girin.</t>
  </si>
  <si>
    <t>• Personel sayısı yıllık ortalama kişi sayısıdır.</t>
  </si>
  <si>
    <t>• Lokasyon türü: Ofis | Üretim | Lojistik | Depo | Şube</t>
  </si>
  <si>
    <t>• Bu sayfa PER_CAPITA sayfası tarafından otomatik kullanılır.</t>
  </si>
  <si>
    <t>TOPLAM EMİSYONLAR — Kapsam Özeti</t>
  </si>
  <si>
    <t>Bu sayfa importer çalıştırıldığında otomatik doldurulur. Manuel düzenleme yapmayın.</t>
  </si>
  <si>
    <t>Kapsam / Kategori</t>
  </si>
  <si>
    <t>Açıklama</t>
  </si>
  <si>
    <t>2024 (ton CO2e)</t>
  </si>
  <si>
    <t>2025 (ton CO2e)</t>
  </si>
  <si>
    <t>Değişim (%)</t>
  </si>
  <si>
    <t>Kaynak Sayfası</t>
  </si>
  <si>
    <t>KAPSAM 1</t>
  </si>
  <si>
    <t>Doğrudan Emisyonlar</t>
  </si>
  <si>
    <t>1.1</t>
  </si>
  <si>
    <t>Sabit Yakma</t>
  </si>
  <si>
    <t>1.1_Stationary</t>
  </si>
  <si>
    <t>1.2</t>
  </si>
  <si>
    <t>Hareketli Yakma</t>
  </si>
  <si>
    <t>1.2_Mobile</t>
  </si>
  <si>
    <t>1.4</t>
  </si>
  <si>
    <t>Soğutucu Gazlar</t>
  </si>
  <si>
    <t>1.4_Refrigerants</t>
  </si>
  <si>
    <t>Kapsam 1 Top.</t>
  </si>
  <si>
    <t>Toplam Kapsam 1</t>
  </si>
  <si>
    <t>KAPSAM 2</t>
  </si>
  <si>
    <t>Enerji Dolaylı Emisyonlar</t>
  </si>
  <si>
    <t>2.1</t>
  </si>
  <si>
    <t>Elektrik Tüketimi</t>
  </si>
  <si>
    <t>2.1_Electricity</t>
  </si>
  <si>
    <t>Kapsam 2 Top.</t>
  </si>
  <si>
    <t>Toplam Kapsam 2</t>
  </si>
  <si>
    <t>KAPSAM 3</t>
  </si>
  <si>
    <t>Diğer Dolaylı Emisyonlar</t>
  </si>
  <si>
    <t>3.1</t>
  </si>
  <si>
    <t>3.1_Freight</t>
  </si>
  <si>
    <t>3.2</t>
  </si>
  <si>
    <t>3.2_ProductShipment</t>
  </si>
  <si>
    <t>3.3</t>
  </si>
  <si>
    <t>Personel Ulaşım</t>
  </si>
  <si>
    <t>3.3_Commuting</t>
  </si>
  <si>
    <t>3.4</t>
  </si>
  <si>
    <t>İş Seyahati - Karayolu</t>
  </si>
  <si>
    <t>3.4_BusinessTravel</t>
  </si>
  <si>
    <t>3.5</t>
  </si>
  <si>
    <t>Uçak &amp; Konaklama</t>
  </si>
  <si>
    <t>3.5_FlightsHotels</t>
  </si>
  <si>
    <t>4.1</t>
  </si>
  <si>
    <t>Satın Alınan Malzemeler</t>
  </si>
  <si>
    <t>4.1_Purchased</t>
  </si>
  <si>
    <t>4.2</t>
  </si>
  <si>
    <t>Sermaye Varlıkları</t>
  </si>
  <si>
    <t>4.2_Capital</t>
  </si>
  <si>
    <t>4.3</t>
  </si>
  <si>
    <t>Atık Bertarafı</t>
  </si>
  <si>
    <t>4.3_Waste</t>
  </si>
  <si>
    <t>4.4</t>
  </si>
  <si>
    <t>Kiralanan Ekipmanlar</t>
  </si>
  <si>
    <t>4.4_LeasedEquipment</t>
  </si>
  <si>
    <t>4.5</t>
  </si>
  <si>
    <t>Hizmet Alımları</t>
  </si>
  <si>
    <t>4.5_Services</t>
  </si>
  <si>
    <t>6.1</t>
  </si>
  <si>
    <t>T&amp;D Kayıpları</t>
  </si>
  <si>
    <t>6.1_TDLosses</t>
  </si>
  <si>
    <t>Kapsam 3 Top.</t>
  </si>
  <si>
    <t>Toplam Kapsam 3</t>
  </si>
  <si>
    <t>GENEL TOPLAM</t>
  </si>
  <si>
    <t>Kapsam 1 + 2 + 3</t>
  </si>
  <si>
    <t>ETKİ ANALİZİ — Toplam CO2e'nin %95'ini Oluşturan Kaynaklar</t>
  </si>
  <si>
    <t>İmporter çalıştırıldığında otomatik hesaplanır. En büyük emisyon kaynaklarını öncelik sırasına göre gösterir.</t>
  </si>
  <si>
    <t>Sıra</t>
  </si>
  <si>
    <t>Kapsam</t>
  </si>
  <si>
    <t>CO2e (ton)</t>
  </si>
  <si>
    <t>Toplam İçindeki Pay (%)</t>
  </si>
  <si>
    <t>Kümülatif (%)</t>
  </si>
  <si>
    <t>Kapsam 2</t>
  </si>
  <si>
    <t>Kapsam 1</t>
  </si>
  <si>
    <t>Kapsam 3</t>
  </si>
  <si>
    <t>▲ %95 EŞIĞI (2025) — Aşağıdaki kaynaklar toplam emisyonun %5'inden az</t>
  </si>
  <si>
    <t>KİŞİ BAŞINA EMİSYON — Lokasyon Bazında ton CO2e / Kişi</t>
  </si>
  <si>
    <t>PERSONNEL sayfasındaki lokasyon verileri kullanılarak importer tarafından otomatik hesaplanır.</t>
  </si>
  <si>
    <t>Lokasyon</t>
  </si>
  <si>
    <t>Toplam CO2e (ton)</t>
  </si>
  <si>
    <t>Kapsam 1 CO2e</t>
  </si>
  <si>
    <t>Kapsam 2 CO2e</t>
  </si>
  <si>
    <t>Kapsam 3 CO2e</t>
  </si>
  <si>
    <t>ton CO2e / Kişi</t>
  </si>
  <si>
    <t>ŞİRKET TOPLAMI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</si>
</sst>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i/>
      <sz val="9"/>
      <color rgb="FF595959"/>
      <name val="Arial"/>
    </font>
    <font>
      <sz val="10"/>
      <color rgb="FF00008B"/>
      <name val="Arial"/>
    </font>
    <font>
      <sz val="10"/>
      <color rgb="FF595959"/>
      <name val="Arial"/>
    </font>
    <font>
      <sz val="10"/>
      <color rgb="FF375623"/>
      <name val="Arial"/>
    </font>
    <font>
      <i/>
      <sz val="9"/>
      <color rgb="FF404040"/>
      <name val="Arial"/>
    </font>
    <font>
      <sz val="9"/>
      <color rgb="FF00008B"/>
      <name val="Arial"/>
    </font>
    <font>
      <sz val="9"/>
      <color rgb="FF375623"/>
      <name val="Arial"/>
    </font>
    <font>
      <sz val="9"/>
      <color rgb="FF595959"/>
      <name val="Arial"/>
    </font>
    <font>
      <sz val="9"/>
      <color rgb="FF7B3F00"/>
      <name val="Arial"/>
    </font>
    <font>
      <b/>
      <sz val="10"/>
      <color rgb="FF7B3F00"/>
      <name val="Arial"/>
    </font>
    <font>
      <sz val="10"/>
      <color rgb="FF595959"/>
      <name val="Arial"/>
    </font>
    <font>
      <sz val="10"/>
      <color rgb="FF375623"/>
      <name val="Arial"/>
    </font>
    <font>
      <sz val="10"/>
      <color rgb="FF375623"/>
      <name val="Arial"/>
    </font>
    <font>
      <sz val="10"/>
      <color rgb="FF595959"/>
      <name val="Arial"/>
    </font>
    <font>
      <b/>
      <sz val="10"/>
      <color rgb="FF7B3F00"/>
      <name val="Arial"/>
    </font>
    <font>
      <sz val="10"/>
      <color rgb="FF843C0C"/>
      <name val="Arial"/>
    </font>
    <font>
      <b/>
      <sz val="10"/>
      <color rgb="FFFFFFFF"/>
      <name val="Arial"/>
    </font>
    <font>
      <sz val="10"/>
      <color rgb="FF00008B"/>
      <name val="Arial"/>
    </font>
    <font>
      <b/>
      <sz val="10"/>
      <color rgb="FFFFFFFF"/>
      <name val="Arial"/>
    </font>
    <font>
      <sz val="10"/>
      <color rgb="FF375623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E2EFD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0" fillId="0" borderId="0" xfId="0" applyFont="1" applyAlignment="1">
      <alignment horizontal="left" vertical="center"/>
    </xf>
    <xf numFmtId="0" fontId="0" fillId="8" borderId="1" xfId="0" applyFill="1" applyBorder="1"/>
    <xf numFmtId="0" fontId="11" fillId="0" borderId="0" xfId="0" applyFont="1" applyAlignment="1">
      <alignment horizontal="left" vertical="center"/>
    </xf>
    <xf numFmtId="0" fontId="0" fillId="7" borderId="1" xfId="0" applyFill="1" applyBorder="1"/>
    <xf numFmtId="0" fontId="12" fillId="0" borderId="0" xfId="0" applyFont="1" applyAlignment="1">
      <alignment horizontal="left" vertical="center"/>
    </xf>
    <xf numFmtId="0" fontId="0" fillId="9" borderId="1" xfId="0" applyFill="1" applyBorder="1"/>
    <xf numFmtId="0" fontId="13" fillId="0" borderId="0" xfId="0" applyFont="1" applyAlignment="1">
      <alignment horizontal="left" vertical="center"/>
    </xf>
    <xf numFmtId="0" fontId="2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0" fillId="3" borderId="0" xfId="0" applyFill="1"/>
    <xf numFmtId="0" fontId="15" fillId="11" borderId="4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8" fillId="14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20" fillId="17" borderId="6" xfId="0" applyFont="1" applyFill="1" applyBorder="1" applyAlignment="1">
      <alignment horizontal="center" vertical="center"/>
    </xf>
    <xf numFmtId="0" fontId="0" fillId="16" borderId="0" xfId="0" applyFill="1"/>
    <xf numFmtId="0" fontId="22" fillId="19" borderId="6" xfId="0" applyFont="1" applyFill="1" applyBorder="1" applyAlignment="1">
      <alignment horizontal="center" vertical="center"/>
    </xf>
    <xf numFmtId="0" fontId="0" fillId="16" borderId="1" xfId="0" applyFill="1" applyBorder="1"/>
    <xf numFmtId="0" fontId="10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/>
    </xf>
    <xf numFmtId="0" fontId="12" fillId="16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0" fontId="0" fillId="0" borderId="3" xfId="0" applyBorder="1"/>
    <xf numFmtId="0" fontId="23" fillId="20" borderId="8" xfId="0" applyFont="1" applyFill="1" applyBorder="1" applyAlignment="1">
      <alignment horizontal="center" vertical="center" wrapText="1"/>
    </xf>
    <xf numFmtId="0" fontId="24" fillId="21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5" fillId="5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2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left" vertical="center" indent="1"/>
    </xf>
    <xf numFmtId="0" fontId="21" fillId="18" borderId="6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showGridLines="0" workbookViewId="0">
      <selection sqref="A1:B1"/>
    </sheetView>
  </sheetViews>
  <sheetFormatPr defaultRowHeight="15" x14ac:dyDescent="0.25"/>
  <cols>
    <col min="1" max="1" width="80" customWidth="1"/>
    <col min="2" max="2" width="20" customWidth="1"/>
  </cols>
  <sheetData>
    <row r="1" spans="1:2" ht="44.1" customHeight="1" x14ac:dyDescent="0.25">
      <c r="A1" s="34" t="s">
        <v>0</v>
      </c>
      <c r="B1" s="33"/>
    </row>
    <row r="3" spans="1:2" ht="18" customHeight="1" x14ac:dyDescent="0.25">
      <c r="A3" s="36" t="s">
        <v>1</v>
      </c>
      <c r="B3" s="33"/>
    </row>
    <row r="4" spans="1:2" ht="18" customHeight="1" x14ac:dyDescent="0.25">
      <c r="A4" s="32"/>
      <c r="B4" s="33"/>
    </row>
    <row r="5" spans="1:2" ht="18" customHeight="1" x14ac:dyDescent="0.25">
      <c r="A5" s="32" t="s">
        <v>2</v>
      </c>
      <c r="B5" s="33"/>
    </row>
    <row r="6" spans="1:2" ht="18" customHeight="1" x14ac:dyDescent="0.25">
      <c r="A6" s="32" t="s">
        <v>3</v>
      </c>
      <c r="B6" s="33"/>
    </row>
    <row r="7" spans="1:2" ht="18" customHeight="1" x14ac:dyDescent="0.25">
      <c r="A7" s="32" t="s">
        <v>4</v>
      </c>
      <c r="B7" s="33"/>
    </row>
    <row r="8" spans="1:2" ht="18" customHeight="1" x14ac:dyDescent="0.25">
      <c r="A8" s="32" t="s">
        <v>5</v>
      </c>
      <c r="B8" s="33"/>
    </row>
    <row r="9" spans="1:2" ht="18" customHeight="1" x14ac:dyDescent="0.25">
      <c r="A9" s="32" t="s">
        <v>6</v>
      </c>
      <c r="B9" s="33"/>
    </row>
    <row r="10" spans="1:2" ht="18" customHeight="1" x14ac:dyDescent="0.25">
      <c r="A10" s="32" t="s">
        <v>7</v>
      </c>
      <c r="B10" s="33"/>
    </row>
    <row r="11" spans="1:2" ht="18" customHeight="1" x14ac:dyDescent="0.25">
      <c r="A11" s="32"/>
      <c r="B11" s="33"/>
    </row>
    <row r="12" spans="1:2" ht="18" customHeight="1" x14ac:dyDescent="0.25">
      <c r="A12" s="36" t="s">
        <v>8</v>
      </c>
      <c r="B12" s="33"/>
    </row>
    <row r="13" spans="1:2" ht="18" customHeight="1" x14ac:dyDescent="0.25">
      <c r="A13" s="32"/>
      <c r="B13" s="33"/>
    </row>
    <row r="14" spans="1:2" ht="18" customHeight="1" x14ac:dyDescent="0.25">
      <c r="A14" s="32" t="s">
        <v>9</v>
      </c>
      <c r="B14" s="33"/>
    </row>
    <row r="15" spans="1:2" ht="18" customHeight="1" x14ac:dyDescent="0.25">
      <c r="A15" s="32" t="s">
        <v>10</v>
      </c>
      <c r="B15" s="33"/>
    </row>
    <row r="16" spans="1:2" ht="18" customHeight="1" x14ac:dyDescent="0.25">
      <c r="A16" s="32" t="s">
        <v>11</v>
      </c>
      <c r="B16" s="33"/>
    </row>
    <row r="17" spans="1:2" ht="18" customHeight="1" x14ac:dyDescent="0.25">
      <c r="A17" s="32" t="s">
        <v>12</v>
      </c>
      <c r="B17" s="33"/>
    </row>
    <row r="18" spans="1:2" ht="18" customHeight="1" x14ac:dyDescent="0.25">
      <c r="A18" s="32"/>
      <c r="B18" s="33"/>
    </row>
    <row r="19" spans="1:2" ht="18" customHeight="1" x14ac:dyDescent="0.25">
      <c r="A19" s="36" t="s">
        <v>13</v>
      </c>
      <c r="B19" s="33"/>
    </row>
    <row r="20" spans="1:2" ht="18" customHeight="1" x14ac:dyDescent="0.25">
      <c r="A20" s="32"/>
      <c r="B20" s="33"/>
    </row>
    <row r="21" spans="1:2" ht="18" customHeight="1" x14ac:dyDescent="0.25">
      <c r="A21" s="32" t="s">
        <v>14</v>
      </c>
      <c r="B21" s="33"/>
    </row>
    <row r="22" spans="1:2" ht="18" customHeight="1" x14ac:dyDescent="0.25">
      <c r="A22" s="32" t="s">
        <v>15</v>
      </c>
      <c r="B22" s="33"/>
    </row>
    <row r="23" spans="1:2" ht="18" customHeight="1" x14ac:dyDescent="0.25">
      <c r="A23" s="32" t="s">
        <v>16</v>
      </c>
      <c r="B23" s="33"/>
    </row>
    <row r="24" spans="1:2" ht="18" customHeight="1" x14ac:dyDescent="0.25">
      <c r="A24" s="32" t="s">
        <v>17</v>
      </c>
      <c r="B24" s="33"/>
    </row>
    <row r="25" spans="1:2" ht="18" customHeight="1" x14ac:dyDescent="0.25">
      <c r="A25" s="32" t="s">
        <v>18</v>
      </c>
      <c r="B25" s="33"/>
    </row>
    <row r="26" spans="1:2" ht="18" customHeight="1" x14ac:dyDescent="0.25">
      <c r="A26" s="32" t="s">
        <v>19</v>
      </c>
      <c r="B26" s="33"/>
    </row>
    <row r="27" spans="1:2" ht="18" customHeight="1" x14ac:dyDescent="0.25">
      <c r="A27" s="32" t="s">
        <v>20</v>
      </c>
      <c r="B27" s="33"/>
    </row>
    <row r="28" spans="1:2" ht="18" customHeight="1" x14ac:dyDescent="0.25">
      <c r="A28" s="32" t="s">
        <v>21</v>
      </c>
      <c r="B28" s="33"/>
    </row>
    <row r="29" spans="1:2" ht="18" customHeight="1" x14ac:dyDescent="0.25">
      <c r="A29" s="32" t="s">
        <v>22</v>
      </c>
      <c r="B29" s="33"/>
    </row>
    <row r="30" spans="1:2" ht="18" customHeight="1" x14ac:dyDescent="0.25">
      <c r="A30" s="32" t="s">
        <v>23</v>
      </c>
      <c r="B30" s="33"/>
    </row>
    <row r="31" spans="1:2" ht="18" customHeight="1" x14ac:dyDescent="0.25">
      <c r="A31" s="32" t="s">
        <v>24</v>
      </c>
      <c r="B31" s="33"/>
    </row>
    <row r="32" spans="1:2" ht="18" customHeight="1" x14ac:dyDescent="0.25">
      <c r="A32" s="32" t="s">
        <v>25</v>
      </c>
      <c r="B32" s="33"/>
    </row>
    <row r="33" spans="1:2" ht="18" customHeight="1" x14ac:dyDescent="0.25">
      <c r="A33" s="32" t="s">
        <v>26</v>
      </c>
      <c r="B33" s="33"/>
    </row>
    <row r="34" spans="1:2" ht="18" customHeight="1" x14ac:dyDescent="0.25">
      <c r="A34" s="32" t="s">
        <v>27</v>
      </c>
      <c r="B34" s="33"/>
    </row>
    <row r="35" spans="1:2" ht="18" customHeight="1" x14ac:dyDescent="0.25">
      <c r="A35" s="32" t="s">
        <v>28</v>
      </c>
      <c r="B35" s="33"/>
    </row>
    <row r="36" spans="1:2" ht="18" customHeight="1" x14ac:dyDescent="0.25">
      <c r="A36" s="32" t="s">
        <v>29</v>
      </c>
      <c r="B36" s="33"/>
    </row>
    <row r="37" spans="1:2" ht="18" customHeight="1" x14ac:dyDescent="0.25">
      <c r="A37" s="32" t="s">
        <v>30</v>
      </c>
      <c r="B37" s="33"/>
    </row>
    <row r="38" spans="1:2" ht="18" customHeight="1" x14ac:dyDescent="0.25">
      <c r="A38" s="32" t="s">
        <v>31</v>
      </c>
      <c r="B38" s="33"/>
    </row>
    <row r="39" spans="1:2" ht="18" customHeight="1" x14ac:dyDescent="0.25">
      <c r="A39" s="32" t="s">
        <v>32</v>
      </c>
      <c r="B39" s="33"/>
    </row>
    <row r="40" spans="1:2" ht="18" customHeight="1" x14ac:dyDescent="0.25">
      <c r="A40" s="32"/>
      <c r="B40" s="33"/>
    </row>
    <row r="41" spans="1:2" ht="18" customHeight="1" x14ac:dyDescent="0.25">
      <c r="A41" s="35" t="s">
        <v>33</v>
      </c>
      <c r="B41" s="33"/>
    </row>
    <row r="42" spans="1:2" ht="18" customHeight="1" x14ac:dyDescent="0.25">
      <c r="A42" s="32" t="s">
        <v>34</v>
      </c>
      <c r="B42" s="33"/>
    </row>
    <row r="43" spans="1:2" ht="18" customHeight="1" x14ac:dyDescent="0.25">
      <c r="A43" s="32" t="s">
        <v>35</v>
      </c>
      <c r="B43" s="33"/>
    </row>
  </sheetData>
  <mergeCells count="42">
    <mergeCell ref="A43:B43"/>
    <mergeCell ref="A19:B19"/>
    <mergeCell ref="A10:B10"/>
    <mergeCell ref="A28:B28"/>
    <mergeCell ref="A13:B13"/>
    <mergeCell ref="A40:B40"/>
    <mergeCell ref="A31:B31"/>
    <mergeCell ref="A39:B39"/>
    <mergeCell ref="A34:B34"/>
    <mergeCell ref="A42:B42"/>
    <mergeCell ref="A5:B5"/>
    <mergeCell ref="A32:B32"/>
    <mergeCell ref="A14:B14"/>
    <mergeCell ref="A23:B23"/>
    <mergeCell ref="A17:B17"/>
    <mergeCell ref="A8:B8"/>
    <mergeCell ref="A22:B22"/>
    <mergeCell ref="A35:B35"/>
    <mergeCell ref="A20:B20"/>
    <mergeCell ref="A38:B38"/>
    <mergeCell ref="A29:B29"/>
    <mergeCell ref="A9:B9"/>
    <mergeCell ref="A41:B41"/>
    <mergeCell ref="A37:B37"/>
    <mergeCell ref="A18:B18"/>
    <mergeCell ref="A27:B27"/>
    <mergeCell ref="A3:B3"/>
    <mergeCell ref="A12:B12"/>
    <mergeCell ref="A26:B26"/>
    <mergeCell ref="A21:B21"/>
    <mergeCell ref="A33:B33"/>
    <mergeCell ref="A4:B4"/>
    <mergeCell ref="A1:B1"/>
    <mergeCell ref="A6:B6"/>
    <mergeCell ref="A16:B16"/>
    <mergeCell ref="A7:B7"/>
    <mergeCell ref="A25:B25"/>
    <mergeCell ref="A24:B24"/>
    <mergeCell ref="A30:B30"/>
    <mergeCell ref="A15:B15"/>
    <mergeCell ref="A11:B11"/>
    <mergeCell ref="A36:B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showGridLines="0" workbookViewId="0">
      <selection activeCell="A23" sqref="A23:N23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14" customWidth="1"/>
    <col min="5" max="5" width="10" customWidth="1"/>
    <col min="6" max="6" width="14" customWidth="1"/>
    <col min="7" max="9" width="16" customWidth="1"/>
    <col min="10" max="11" width="12" customWidth="1"/>
    <col min="12" max="12" width="16" customWidth="1"/>
    <col min="13" max="13" width="14" customWidth="1"/>
    <col min="14" max="14" width="24" customWidth="1"/>
  </cols>
  <sheetData>
    <row r="1" spans="1:14" ht="33.950000000000003" customHeight="1" x14ac:dyDescent="0.25">
      <c r="A1" s="42" t="s">
        <v>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8.1" customHeight="1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</row>
    <row r="4" spans="1:14" ht="20.100000000000001" customHeight="1" x14ac:dyDescent="0.25">
      <c r="A4" s="2">
        <v>2023</v>
      </c>
      <c r="B4" s="2" t="s">
        <v>52</v>
      </c>
      <c r="C4" s="2" t="s">
        <v>53</v>
      </c>
      <c r="D4" s="2">
        <v>11064</v>
      </c>
      <c r="E4" s="3" t="s">
        <v>54</v>
      </c>
      <c r="F4" s="4">
        <v>48</v>
      </c>
      <c r="G4" s="4">
        <v>56.1</v>
      </c>
      <c r="H4" s="4">
        <v>5.0000000000000001E-3</v>
      </c>
      <c r="I4" s="4">
        <v>1E-4</v>
      </c>
      <c r="J4" s="4">
        <v>29.8</v>
      </c>
      <c r="K4" s="4">
        <v>273</v>
      </c>
      <c r="L4" s="4">
        <v>7.2000000000000005E-4</v>
      </c>
      <c r="M4" s="19">
        <v>19.048500000000001</v>
      </c>
      <c r="N4" s="2" t="s">
        <v>55</v>
      </c>
    </row>
    <row r="5" spans="1:14" ht="20.100000000000001" customHeight="1" x14ac:dyDescent="0.25">
      <c r="A5" s="2">
        <v>2023</v>
      </c>
      <c r="B5" s="2" t="s">
        <v>56</v>
      </c>
      <c r="C5" s="2" t="s">
        <v>57</v>
      </c>
      <c r="D5" s="2">
        <v>432</v>
      </c>
      <c r="E5" s="3" t="s">
        <v>58</v>
      </c>
      <c r="F5" s="4">
        <v>43</v>
      </c>
      <c r="G5" s="4">
        <v>74.099999999999994</v>
      </c>
      <c r="H5" s="4">
        <v>0.01</v>
      </c>
      <c r="I5" s="4">
        <v>5.9999999999999995E-4</v>
      </c>
      <c r="J5" s="4">
        <v>29.8</v>
      </c>
      <c r="K5" s="4">
        <v>273</v>
      </c>
      <c r="L5" s="4">
        <v>8.4500000000000005E-4</v>
      </c>
      <c r="M5" s="19">
        <v>8.5360999999999994</v>
      </c>
      <c r="N5" s="2" t="s">
        <v>59</v>
      </c>
    </row>
    <row r="6" spans="1:14" ht="20.100000000000001" customHeight="1" x14ac:dyDescent="0.25">
      <c r="A6" s="2">
        <v>2023</v>
      </c>
      <c r="B6" s="2" t="s">
        <v>60</v>
      </c>
      <c r="C6" s="2" t="s">
        <v>57</v>
      </c>
      <c r="D6" s="2">
        <v>15</v>
      </c>
      <c r="E6" s="3" t="s">
        <v>58</v>
      </c>
      <c r="F6" s="4">
        <v>43</v>
      </c>
      <c r="G6" s="4">
        <v>74.099999999999994</v>
      </c>
      <c r="H6" s="4">
        <v>0.01</v>
      </c>
      <c r="I6" s="4">
        <v>5.9999999999999995E-4</v>
      </c>
      <c r="J6" s="4">
        <v>29.8</v>
      </c>
      <c r="K6" s="4">
        <v>273</v>
      </c>
      <c r="L6" s="4">
        <v>8.4500000000000005E-4</v>
      </c>
      <c r="M6" s="19">
        <v>2.6700000000000002E-2</v>
      </c>
      <c r="N6" s="2" t="s">
        <v>61</v>
      </c>
    </row>
    <row r="7" spans="1:14" ht="20.100000000000001" customHeight="1" x14ac:dyDescent="0.25">
      <c r="A7" s="2">
        <v>2023</v>
      </c>
      <c r="B7" s="2" t="s">
        <v>60</v>
      </c>
      <c r="C7" s="2" t="s">
        <v>62</v>
      </c>
      <c r="D7" s="2">
        <v>5</v>
      </c>
      <c r="E7" s="3" t="s">
        <v>58</v>
      </c>
      <c r="F7" s="4">
        <v>44.3</v>
      </c>
      <c r="G7" s="4">
        <v>69.3</v>
      </c>
      <c r="H7" s="4">
        <v>0.01</v>
      </c>
      <c r="I7" s="4">
        <v>5.9999999999999995E-4</v>
      </c>
      <c r="J7" s="4">
        <v>29.8</v>
      </c>
      <c r="K7" s="4">
        <v>273</v>
      </c>
      <c r="L7" s="4">
        <v>7.7499999999999997E-4</v>
      </c>
      <c r="M7" s="19">
        <v>1.15E-2</v>
      </c>
      <c r="N7" s="2" t="s">
        <v>61</v>
      </c>
    </row>
    <row r="8" spans="1:14" ht="20.100000000000001" customHeight="1" x14ac:dyDescent="0.25">
      <c r="A8" s="2"/>
      <c r="B8" s="2"/>
      <c r="C8" s="2"/>
      <c r="D8" s="2"/>
      <c r="E8" s="3"/>
      <c r="F8" s="4"/>
      <c r="G8" s="4"/>
      <c r="H8" s="4"/>
      <c r="I8" s="4"/>
      <c r="J8" s="4"/>
      <c r="K8" s="4"/>
      <c r="L8" s="4"/>
      <c r="M8" s="3"/>
      <c r="N8" s="2"/>
    </row>
    <row r="9" spans="1:14" ht="20.100000000000001" customHeight="1" x14ac:dyDescent="0.25">
      <c r="A9" s="2">
        <v>2024</v>
      </c>
      <c r="B9" s="2" t="s">
        <v>52</v>
      </c>
      <c r="C9" s="2" t="s">
        <v>53</v>
      </c>
      <c r="D9" s="2">
        <v>8294</v>
      </c>
      <c r="E9" s="3" t="s">
        <v>54</v>
      </c>
      <c r="F9" s="4">
        <v>48</v>
      </c>
      <c r="G9" s="4">
        <v>56.1</v>
      </c>
      <c r="H9" s="4">
        <v>5.0000000000000001E-3</v>
      </c>
      <c r="I9" s="4">
        <v>1E-4</v>
      </c>
      <c r="J9" s="4">
        <v>29.8</v>
      </c>
      <c r="K9" s="4">
        <v>273</v>
      </c>
      <c r="L9" s="4">
        <v>7.2000000000000005E-4</v>
      </c>
      <c r="M9" s="3"/>
      <c r="N9" s="2" t="s">
        <v>55</v>
      </c>
    </row>
    <row r="10" spans="1:14" ht="20.100000000000001" customHeight="1" x14ac:dyDescent="0.25">
      <c r="A10" s="2">
        <v>2024</v>
      </c>
      <c r="B10" s="2" t="s">
        <v>56</v>
      </c>
      <c r="C10" s="2" t="s">
        <v>57</v>
      </c>
      <c r="D10" s="2">
        <v>1366</v>
      </c>
      <c r="E10" s="3" t="s">
        <v>58</v>
      </c>
      <c r="F10" s="4">
        <v>43</v>
      </c>
      <c r="G10" s="4">
        <v>74.099999999999994</v>
      </c>
      <c r="H10" s="4">
        <v>0.01</v>
      </c>
      <c r="I10" s="4">
        <v>5.9999999999999995E-4</v>
      </c>
      <c r="J10" s="4">
        <v>29.8</v>
      </c>
      <c r="K10" s="4">
        <v>273</v>
      </c>
      <c r="L10" s="4">
        <v>8.4500000000000005E-4</v>
      </c>
      <c r="M10" s="3"/>
      <c r="N10" s="2" t="s">
        <v>59</v>
      </c>
    </row>
    <row r="11" spans="1:14" ht="20.100000000000001" customHeight="1" x14ac:dyDescent="0.25">
      <c r="A11" s="2">
        <v>2024</v>
      </c>
      <c r="B11" s="2" t="s">
        <v>60</v>
      </c>
      <c r="C11" s="2" t="s">
        <v>57</v>
      </c>
      <c r="D11" s="2">
        <v>3</v>
      </c>
      <c r="E11" s="3" t="s">
        <v>58</v>
      </c>
      <c r="F11" s="4">
        <v>43</v>
      </c>
      <c r="G11" s="4">
        <v>74.099999999999994</v>
      </c>
      <c r="H11" s="4">
        <v>0.01</v>
      </c>
      <c r="I11" s="4">
        <v>5.9999999999999995E-4</v>
      </c>
      <c r="J11" s="4">
        <v>29.8</v>
      </c>
      <c r="K11" s="4">
        <v>273</v>
      </c>
      <c r="L11" s="4">
        <v>8.4500000000000005E-4</v>
      </c>
      <c r="M11" s="47"/>
      <c r="N11" s="2" t="s">
        <v>61</v>
      </c>
    </row>
    <row r="12" spans="1:14" ht="20.100000000000001" customHeight="1" x14ac:dyDescent="0.25">
      <c r="A12" s="2">
        <v>2024</v>
      </c>
      <c r="B12" s="2" t="s">
        <v>60</v>
      </c>
      <c r="C12" s="2" t="s">
        <v>62</v>
      </c>
      <c r="D12" s="2">
        <v>1</v>
      </c>
      <c r="E12" s="3" t="s">
        <v>58</v>
      </c>
      <c r="F12" s="4">
        <v>44.3</v>
      </c>
      <c r="G12" s="4">
        <v>69.3</v>
      </c>
      <c r="H12" s="4">
        <v>0.01</v>
      </c>
      <c r="I12" s="4">
        <v>5.9999999999999995E-4</v>
      </c>
      <c r="J12" s="4">
        <v>29.8</v>
      </c>
      <c r="K12" s="4">
        <v>273</v>
      </c>
      <c r="L12" s="4">
        <v>7.7499999999999997E-4</v>
      </c>
      <c r="M12" s="47"/>
      <c r="N12" s="2" t="s">
        <v>61</v>
      </c>
    </row>
    <row r="13" spans="1:14" ht="20.100000000000001" customHeight="1" x14ac:dyDescent="0.25">
      <c r="A13" s="46"/>
      <c r="B13" s="46"/>
      <c r="C13" s="46"/>
      <c r="D13" s="46"/>
      <c r="E13" s="47"/>
      <c r="F13" s="48"/>
      <c r="G13" s="48"/>
      <c r="H13" s="48"/>
      <c r="I13" s="48"/>
      <c r="J13" s="48"/>
      <c r="K13" s="48"/>
      <c r="L13" s="48"/>
      <c r="M13" s="47"/>
      <c r="N13" s="46"/>
    </row>
    <row r="14" spans="1:14" ht="20.100000000000001" customHeight="1" x14ac:dyDescent="0.25">
      <c r="A14" s="2">
        <v>2025</v>
      </c>
      <c r="B14" s="2" t="s">
        <v>52</v>
      </c>
      <c r="C14" s="2" t="s">
        <v>53</v>
      </c>
      <c r="D14" s="2">
        <v>9835</v>
      </c>
      <c r="E14" s="3" t="s">
        <v>54</v>
      </c>
      <c r="F14" s="4">
        <v>48</v>
      </c>
      <c r="G14" s="4">
        <v>56.1</v>
      </c>
      <c r="H14" s="4">
        <v>5.0000000000000001E-3</v>
      </c>
      <c r="I14" s="4">
        <v>1E-4</v>
      </c>
      <c r="J14" s="4">
        <v>29.8</v>
      </c>
      <c r="K14" s="4">
        <v>273</v>
      </c>
      <c r="L14" s="4">
        <v>7.2000000000000005E-4</v>
      </c>
      <c r="M14" s="47"/>
      <c r="N14" s="2" t="s">
        <v>55</v>
      </c>
    </row>
    <row r="15" spans="1:14" ht="20.100000000000001" customHeight="1" x14ac:dyDescent="0.25">
      <c r="A15" s="2">
        <v>2025</v>
      </c>
      <c r="B15" s="2" t="s">
        <v>56</v>
      </c>
      <c r="C15" s="2" t="s">
        <v>57</v>
      </c>
      <c r="D15" s="2">
        <v>3200</v>
      </c>
      <c r="E15" s="3" t="s">
        <v>58</v>
      </c>
      <c r="F15" s="4">
        <v>43</v>
      </c>
      <c r="G15" s="4">
        <v>74.099999999999994</v>
      </c>
      <c r="H15" s="4">
        <v>0.01</v>
      </c>
      <c r="I15" s="4">
        <v>5.9999999999999995E-4</v>
      </c>
      <c r="J15" s="4">
        <v>29.8</v>
      </c>
      <c r="K15" s="4">
        <v>273</v>
      </c>
      <c r="L15" s="4">
        <v>8.4500000000000005E-4</v>
      </c>
      <c r="M15" s="47"/>
      <c r="N15" s="2" t="s">
        <v>59</v>
      </c>
    </row>
    <row r="16" spans="1:14" ht="20.100000000000001" customHeight="1" x14ac:dyDescent="0.25">
      <c r="A16" s="2">
        <v>2025</v>
      </c>
      <c r="B16" s="2" t="s">
        <v>60</v>
      </c>
      <c r="C16" s="2" t="s">
        <v>57</v>
      </c>
      <c r="D16" s="2">
        <v>10</v>
      </c>
      <c r="E16" s="3" t="s">
        <v>58</v>
      </c>
      <c r="F16" s="4">
        <v>43</v>
      </c>
      <c r="G16" s="4">
        <v>74.099999999999994</v>
      </c>
      <c r="H16" s="4">
        <v>0.01</v>
      </c>
      <c r="I16" s="4">
        <v>5.9999999999999995E-4</v>
      </c>
      <c r="J16" s="4">
        <v>29.8</v>
      </c>
      <c r="K16" s="4">
        <v>273</v>
      </c>
      <c r="L16" s="4">
        <v>8.4500000000000005E-4</v>
      </c>
      <c r="M16" s="47"/>
      <c r="N16" s="2" t="s">
        <v>61</v>
      </c>
    </row>
    <row r="17" spans="1:14" ht="20.100000000000001" customHeight="1" x14ac:dyDescent="0.25">
      <c r="A17" s="2">
        <v>2025</v>
      </c>
      <c r="B17" s="2" t="s">
        <v>60</v>
      </c>
      <c r="C17" s="2" t="s">
        <v>62</v>
      </c>
      <c r="D17" s="2">
        <v>5</v>
      </c>
      <c r="E17" s="3" t="s">
        <v>58</v>
      </c>
      <c r="F17" s="4">
        <v>44.3</v>
      </c>
      <c r="G17" s="4">
        <v>69.3</v>
      </c>
      <c r="H17" s="4">
        <v>0.01</v>
      </c>
      <c r="I17" s="4">
        <v>5.9999999999999995E-4</v>
      </c>
      <c r="J17" s="4">
        <v>29.8</v>
      </c>
      <c r="K17" s="4">
        <v>273</v>
      </c>
      <c r="L17" s="4">
        <v>7.7499999999999997E-4</v>
      </c>
      <c r="M17" s="47"/>
      <c r="N17" s="2" t="s">
        <v>61</v>
      </c>
    </row>
    <row r="18" spans="1:14" ht="20.100000000000001" customHeight="1" x14ac:dyDescent="0.25">
      <c r="A18" s="2"/>
      <c r="B18" s="2"/>
      <c r="C18" s="2"/>
      <c r="D18" s="2"/>
      <c r="E18" s="3"/>
      <c r="F18" s="4"/>
      <c r="G18" s="4"/>
      <c r="H18" s="4"/>
      <c r="I18" s="4"/>
      <c r="J18" s="4"/>
      <c r="K18" s="4"/>
      <c r="L18" s="4"/>
      <c r="M18" s="3"/>
      <c r="N18" s="2"/>
    </row>
    <row r="20" spans="1:14" ht="20.100000000000001" customHeight="1" x14ac:dyDescent="0.25">
      <c r="A20" s="39" t="s">
        <v>63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1"/>
    </row>
    <row r="21" spans="1:14" ht="15" customHeight="1" x14ac:dyDescent="0.25">
      <c r="A21" s="37" t="s">
        <v>64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spans="1:14" ht="15" customHeight="1" x14ac:dyDescent="0.25">
      <c r="A22" s="37" t="s">
        <v>65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spans="1:14" ht="15" customHeight="1" x14ac:dyDescent="0.25">
      <c r="A23" s="37" t="s">
        <v>66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1:14" ht="15" customHeight="1" x14ac:dyDescent="0.25">
      <c r="A24" s="37" t="s">
        <v>67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6" spans="1:14" ht="15.95" customHeight="1" x14ac:dyDescent="0.25">
      <c r="A26" s="5"/>
      <c r="B26" s="6" t="s">
        <v>68</v>
      </c>
    </row>
    <row r="27" spans="1:14" ht="15.95" customHeight="1" x14ac:dyDescent="0.25">
      <c r="A27" s="7"/>
      <c r="B27" s="8" t="s">
        <v>69</v>
      </c>
    </row>
    <row r="28" spans="1:14" ht="15.95" customHeight="1" x14ac:dyDescent="0.25">
      <c r="A28" s="9"/>
      <c r="B28" s="10" t="s">
        <v>70</v>
      </c>
    </row>
    <row r="29" spans="1:14" ht="15.95" customHeight="1" x14ac:dyDescent="0.25">
      <c r="A29" s="11"/>
      <c r="B29" s="12" t="s">
        <v>71</v>
      </c>
    </row>
  </sheetData>
  <mergeCells count="7">
    <mergeCell ref="A1:N1"/>
    <mergeCell ref="A24:N24"/>
    <mergeCell ref="A2:N2"/>
    <mergeCell ref="A23:N23"/>
    <mergeCell ref="A22:N22"/>
    <mergeCell ref="A20:N20"/>
    <mergeCell ref="A21:N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showGridLines="0" workbookViewId="0">
      <selection activeCell="I21" sqref="I21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14" customWidth="1"/>
    <col min="5" max="5" width="10" customWidth="1"/>
    <col min="6" max="6" width="14" customWidth="1"/>
    <col min="7" max="9" width="16" customWidth="1"/>
    <col min="10" max="11" width="12" customWidth="1"/>
    <col min="12" max="12" width="16" customWidth="1"/>
    <col min="13" max="13" width="14" customWidth="1"/>
    <col min="14" max="14" width="24" customWidth="1"/>
  </cols>
  <sheetData>
    <row r="1" spans="1:14" ht="33.950000000000003" customHeight="1" x14ac:dyDescent="0.25">
      <c r="A1" s="42" t="s">
        <v>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8.1" customHeight="1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</row>
    <row r="4" spans="1:14" ht="20.100000000000001" customHeight="1" x14ac:dyDescent="0.25">
      <c r="A4" s="2">
        <v>2023</v>
      </c>
      <c r="B4" s="2" t="s">
        <v>73</v>
      </c>
      <c r="C4" s="2" t="s">
        <v>62</v>
      </c>
      <c r="D4" s="2">
        <v>87312.66</v>
      </c>
      <c r="E4" s="3" t="s">
        <v>58</v>
      </c>
      <c r="F4" s="4">
        <v>44.3</v>
      </c>
      <c r="G4" s="4">
        <v>69.3</v>
      </c>
      <c r="H4" s="4">
        <v>2.5000000000000001E-2</v>
      </c>
      <c r="I4" s="4">
        <v>8.0000000000000002E-3</v>
      </c>
      <c r="J4" s="4">
        <v>29.8</v>
      </c>
      <c r="K4" s="4">
        <v>273</v>
      </c>
      <c r="L4" s="4">
        <v>7.7499999999999997E-4</v>
      </c>
      <c r="M4" s="19">
        <v>283.16500000000002</v>
      </c>
      <c r="N4" s="2" t="s">
        <v>74</v>
      </c>
    </row>
    <row r="5" spans="1:14" ht="20.100000000000001" customHeight="1" x14ac:dyDescent="0.25">
      <c r="A5" s="2">
        <v>2023</v>
      </c>
      <c r="B5" s="2" t="s">
        <v>73</v>
      </c>
      <c r="C5" s="2" t="s">
        <v>57</v>
      </c>
      <c r="D5" s="2">
        <v>122850.92</v>
      </c>
      <c r="E5" s="3" t="s">
        <v>58</v>
      </c>
      <c r="F5" s="4">
        <v>43</v>
      </c>
      <c r="G5" s="4">
        <v>74.099999999999994</v>
      </c>
      <c r="H5" s="4">
        <v>3.8999999999999998E-3</v>
      </c>
      <c r="I5" s="4">
        <v>3.8999999999999998E-3</v>
      </c>
      <c r="J5" s="4">
        <v>29.8</v>
      </c>
      <c r="K5" s="4">
        <v>273</v>
      </c>
      <c r="L5" s="4">
        <v>8.4500000000000005E-4</v>
      </c>
      <c r="M5" s="19">
        <v>209.18289999999999</v>
      </c>
      <c r="N5" s="2" t="s">
        <v>75</v>
      </c>
    </row>
    <row r="6" spans="1:14" ht="20.100000000000001" customHeight="1" x14ac:dyDescent="0.25">
      <c r="A6" s="2"/>
      <c r="B6" s="2"/>
      <c r="C6" s="2"/>
      <c r="D6" s="2"/>
      <c r="E6" s="3"/>
      <c r="F6" s="4"/>
      <c r="G6" s="4"/>
      <c r="H6" s="4"/>
      <c r="I6" s="4"/>
      <c r="J6" s="4"/>
      <c r="K6" s="4"/>
      <c r="L6" s="4"/>
      <c r="M6" s="3"/>
      <c r="N6" s="2"/>
    </row>
    <row r="7" spans="1:14" ht="20.100000000000001" customHeight="1" x14ac:dyDescent="0.25">
      <c r="A7" s="2">
        <v>2024</v>
      </c>
      <c r="B7" s="2" t="s">
        <v>73</v>
      </c>
      <c r="C7" s="2" t="s">
        <v>62</v>
      </c>
      <c r="D7" s="2">
        <v>139533.07999999999</v>
      </c>
      <c r="E7" s="3" t="s">
        <v>58</v>
      </c>
      <c r="F7" s="4">
        <v>44.3</v>
      </c>
      <c r="G7" s="4">
        <v>69.3</v>
      </c>
      <c r="H7" s="4">
        <v>2.5000000000000001E-2</v>
      </c>
      <c r="I7" s="4">
        <v>8.0000000000000002E-3</v>
      </c>
      <c r="J7" s="4">
        <v>29.8</v>
      </c>
      <c r="K7" s="4">
        <v>273</v>
      </c>
      <c r="L7" s="4">
        <v>7.7499999999999997E-4</v>
      </c>
      <c r="M7" s="3"/>
      <c r="N7" s="2" t="s">
        <v>74</v>
      </c>
    </row>
    <row r="8" spans="1:14" ht="20.100000000000001" customHeight="1" x14ac:dyDescent="0.25">
      <c r="A8" s="2">
        <v>2024</v>
      </c>
      <c r="B8" s="2" t="s">
        <v>73</v>
      </c>
      <c r="C8" s="2" t="s">
        <v>57</v>
      </c>
      <c r="D8" s="2">
        <v>72875.179999999993</v>
      </c>
      <c r="E8" s="3" t="s">
        <v>58</v>
      </c>
      <c r="F8" s="4">
        <v>43</v>
      </c>
      <c r="G8" s="4">
        <v>74.099999999999994</v>
      </c>
      <c r="H8" s="4">
        <v>3.8999999999999998E-3</v>
      </c>
      <c r="I8" s="4">
        <v>4.0000000000000001E-3</v>
      </c>
      <c r="J8" s="4">
        <v>29.8</v>
      </c>
      <c r="K8" s="4">
        <v>273</v>
      </c>
      <c r="L8" s="4">
        <v>8.4500000000000005E-4</v>
      </c>
      <c r="M8" s="3"/>
      <c r="N8" s="2" t="s">
        <v>75</v>
      </c>
    </row>
    <row r="9" spans="1:14" ht="20.100000000000001" customHeight="1" x14ac:dyDescent="0.25">
      <c r="A9" s="2"/>
      <c r="B9" s="2"/>
      <c r="C9" s="2"/>
      <c r="D9" s="2"/>
      <c r="E9" s="3"/>
      <c r="F9" s="4"/>
      <c r="G9" s="4"/>
      <c r="H9" s="4"/>
      <c r="I9" s="4"/>
      <c r="J9" s="4"/>
      <c r="K9" s="4"/>
      <c r="L9" s="4"/>
      <c r="M9" s="3"/>
      <c r="N9" s="2"/>
    </row>
    <row r="10" spans="1:14" x14ac:dyDescent="0.25">
      <c r="A10" s="2">
        <v>2025</v>
      </c>
      <c r="B10" s="2" t="s">
        <v>73</v>
      </c>
      <c r="C10" s="2" t="s">
        <v>62</v>
      </c>
      <c r="D10" s="2">
        <v>151020.57999999999</v>
      </c>
      <c r="E10" s="3" t="s">
        <v>58</v>
      </c>
      <c r="F10" s="4">
        <v>44.3</v>
      </c>
      <c r="G10" s="4">
        <v>69.3</v>
      </c>
      <c r="H10" s="4">
        <v>2.5000000000000001E-2</v>
      </c>
      <c r="I10" s="4">
        <v>8.0000000000000002E-3</v>
      </c>
      <c r="J10" s="4">
        <v>29.8</v>
      </c>
      <c r="K10" s="4">
        <v>273</v>
      </c>
      <c r="L10" s="4">
        <v>7.7499999999999997E-4</v>
      </c>
      <c r="M10" s="3"/>
      <c r="N10" s="2" t="s">
        <v>74</v>
      </c>
    </row>
    <row r="11" spans="1:14" ht="20.100000000000001" customHeight="1" x14ac:dyDescent="0.25">
      <c r="A11" s="2">
        <v>2025</v>
      </c>
      <c r="B11" s="2" t="s">
        <v>73</v>
      </c>
      <c r="C11" s="2" t="s">
        <v>57</v>
      </c>
      <c r="D11" s="2">
        <v>78573.77</v>
      </c>
      <c r="E11" s="3" t="s">
        <v>58</v>
      </c>
      <c r="F11" s="4">
        <v>43</v>
      </c>
      <c r="G11" s="4">
        <v>74.099999999999994</v>
      </c>
      <c r="H11" s="4">
        <v>4.0000000000000001E-3</v>
      </c>
      <c r="I11" s="4">
        <v>4.0000000000000001E-3</v>
      </c>
      <c r="J11" s="4">
        <v>29.8</v>
      </c>
      <c r="K11" s="4">
        <v>273</v>
      </c>
      <c r="L11" s="4">
        <v>8.4500000000000005E-4</v>
      </c>
      <c r="M11" s="3"/>
      <c r="N11" s="2" t="s">
        <v>75</v>
      </c>
    </row>
    <row r="12" spans="1:14" ht="15" customHeight="1" x14ac:dyDescent="0.25">
      <c r="A12" s="2"/>
      <c r="B12" s="2"/>
      <c r="C12" s="2"/>
      <c r="D12" s="2"/>
      <c r="E12" s="3"/>
      <c r="F12" s="4"/>
      <c r="G12" s="4"/>
      <c r="H12" s="4"/>
      <c r="I12" s="4"/>
      <c r="J12" s="4"/>
      <c r="K12" s="4"/>
      <c r="L12" s="4"/>
      <c r="M12" s="3"/>
      <c r="N12" s="2"/>
    </row>
    <row r="13" spans="1:14" ht="15" customHeight="1" x14ac:dyDescent="0.25">
      <c r="A13" s="2"/>
      <c r="B13" s="2"/>
      <c r="C13" s="2"/>
      <c r="D13" s="2"/>
      <c r="E13" s="3"/>
      <c r="F13" s="4"/>
      <c r="G13" s="4"/>
      <c r="H13" s="4"/>
      <c r="I13" s="4"/>
      <c r="J13" s="4"/>
      <c r="K13" s="4"/>
      <c r="L13" s="4"/>
      <c r="M13" s="3"/>
      <c r="N13" s="2"/>
    </row>
    <row r="14" spans="1:14" ht="15" customHeight="1" x14ac:dyDescent="0.25">
      <c r="A14" s="2"/>
      <c r="B14" s="2"/>
      <c r="C14" s="2"/>
      <c r="D14" s="2"/>
      <c r="E14" s="3"/>
      <c r="F14" s="4"/>
      <c r="G14" s="4"/>
      <c r="H14" s="4"/>
      <c r="I14" s="4"/>
      <c r="J14" s="4"/>
      <c r="K14" s="4"/>
      <c r="L14" s="4"/>
      <c r="M14" s="3"/>
      <c r="N14" s="2"/>
    </row>
    <row r="15" spans="1:14" x14ac:dyDescent="0.25">
      <c r="A15" s="2"/>
      <c r="B15" s="2"/>
      <c r="C15" s="2"/>
      <c r="D15" s="2"/>
      <c r="E15" s="3"/>
      <c r="F15" s="4"/>
      <c r="G15" s="4"/>
      <c r="H15" s="4"/>
      <c r="I15" s="4"/>
      <c r="J15" s="4"/>
      <c r="K15" s="4"/>
      <c r="L15" s="4"/>
      <c r="M15" s="3"/>
      <c r="N15" s="2"/>
    </row>
    <row r="16" spans="1:14" ht="15.95" customHeight="1" x14ac:dyDescent="0.25">
      <c r="A16" s="5"/>
      <c r="B16" s="6" t="s">
        <v>68</v>
      </c>
    </row>
    <row r="17" spans="1:2" ht="15.95" customHeight="1" x14ac:dyDescent="0.25">
      <c r="A17" s="7"/>
      <c r="B17" s="8" t="s">
        <v>69</v>
      </c>
    </row>
    <row r="18" spans="1:2" ht="15.95" customHeight="1" x14ac:dyDescent="0.25">
      <c r="A18" s="9"/>
      <c r="B18" s="10" t="s">
        <v>70</v>
      </c>
    </row>
    <row r="19" spans="1:2" ht="15.95" customHeight="1" x14ac:dyDescent="0.25">
      <c r="A19" s="11"/>
      <c r="B19" s="12" t="s">
        <v>71</v>
      </c>
    </row>
  </sheetData>
  <mergeCells count="2">
    <mergeCell ref="A1:N1"/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showGridLines="0" topLeftCell="A8" workbookViewId="0">
      <selection activeCell="I7" sqref="I7"/>
    </sheetView>
  </sheetViews>
  <sheetFormatPr defaultRowHeight="15" x14ac:dyDescent="0.25"/>
  <cols>
    <col min="1" max="1" width="8" customWidth="1"/>
    <col min="2" max="2" width="16" customWidth="1"/>
    <col min="3" max="3" width="18" customWidth="1"/>
    <col min="4" max="4" width="8" customWidth="1"/>
    <col min="5" max="6" width="14" customWidth="1"/>
    <col min="7" max="7" width="28" customWidth="1"/>
  </cols>
  <sheetData>
    <row r="1" spans="1:7" ht="33.950000000000003" customHeight="1" x14ac:dyDescent="0.25">
      <c r="A1" s="42" t="s">
        <v>77</v>
      </c>
      <c r="B1" s="33"/>
      <c r="C1" s="33"/>
      <c r="D1" s="33"/>
      <c r="E1" s="33"/>
      <c r="F1" s="33"/>
      <c r="G1" s="33"/>
    </row>
    <row r="2" spans="1:7" ht="15" customHeight="1" x14ac:dyDescent="0.25">
      <c r="A2" s="38" t="s">
        <v>37</v>
      </c>
      <c r="B2" s="33"/>
      <c r="C2" s="33"/>
      <c r="D2" s="33"/>
      <c r="E2" s="33"/>
      <c r="F2" s="33"/>
      <c r="G2" s="33"/>
    </row>
    <row r="3" spans="1:7" ht="38.1" customHeight="1" x14ac:dyDescent="0.25">
      <c r="A3" s="1" t="s">
        <v>38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51</v>
      </c>
    </row>
    <row r="4" spans="1:7" ht="20.100000000000001" customHeight="1" x14ac:dyDescent="0.25">
      <c r="A4" s="2">
        <v>2023</v>
      </c>
      <c r="B4" s="2" t="s">
        <v>88</v>
      </c>
      <c r="C4" s="2">
        <v>226.25</v>
      </c>
      <c r="D4" s="3" t="s">
        <v>84</v>
      </c>
      <c r="E4" s="4"/>
      <c r="F4" s="3"/>
      <c r="G4" s="2"/>
    </row>
    <row r="5" spans="1:7" ht="20.100000000000001" customHeight="1" x14ac:dyDescent="0.25">
      <c r="A5" s="2"/>
      <c r="B5" s="2"/>
      <c r="C5" s="2"/>
      <c r="D5" s="3"/>
      <c r="E5" s="4"/>
      <c r="F5" s="3"/>
      <c r="G5" s="2"/>
    </row>
    <row r="6" spans="1:7" ht="20.100000000000001" customHeight="1" x14ac:dyDescent="0.25">
      <c r="A6" s="2"/>
      <c r="B6" s="2"/>
      <c r="C6" s="2"/>
      <c r="D6" s="3"/>
      <c r="E6" s="4"/>
      <c r="F6" s="3"/>
      <c r="G6" s="2"/>
    </row>
    <row r="7" spans="1:7" ht="20.100000000000001" customHeight="1" x14ac:dyDescent="0.25">
      <c r="A7" s="2"/>
      <c r="B7" s="2"/>
      <c r="C7" s="2"/>
      <c r="D7" s="3"/>
      <c r="E7" s="4"/>
      <c r="F7" s="3"/>
      <c r="G7" s="2"/>
    </row>
    <row r="8" spans="1:7" ht="20.100000000000001" customHeight="1" x14ac:dyDescent="0.25">
      <c r="A8" s="2"/>
      <c r="B8" s="2"/>
      <c r="C8" s="2"/>
      <c r="D8" s="3"/>
      <c r="E8" s="4"/>
      <c r="F8" s="3"/>
      <c r="G8" s="2"/>
    </row>
    <row r="9" spans="1:7" ht="20.100000000000001" customHeight="1" x14ac:dyDescent="0.25">
      <c r="A9" s="2"/>
      <c r="B9" s="2"/>
      <c r="C9" s="2"/>
      <c r="D9" s="3"/>
      <c r="E9" s="4"/>
      <c r="F9" s="3"/>
      <c r="G9" s="2"/>
    </row>
    <row r="10" spans="1:7" ht="20.100000000000001" customHeight="1" x14ac:dyDescent="0.25">
      <c r="A10" s="2"/>
      <c r="B10" s="2"/>
      <c r="C10" s="2"/>
      <c r="D10" s="3"/>
      <c r="E10" s="4"/>
      <c r="F10" s="3"/>
      <c r="G10" s="2"/>
    </row>
    <row r="11" spans="1:7" ht="20.100000000000001" customHeight="1" x14ac:dyDescent="0.25">
      <c r="A11" s="2"/>
      <c r="B11" s="2"/>
      <c r="C11" s="2"/>
      <c r="D11" s="3"/>
      <c r="E11" s="4"/>
      <c r="F11" s="3"/>
      <c r="G11" s="2"/>
    </row>
    <row r="12" spans="1:7" ht="20.100000000000001" customHeight="1" x14ac:dyDescent="0.25">
      <c r="A12" s="2"/>
      <c r="B12" s="2"/>
      <c r="C12" s="2"/>
      <c r="D12" s="3"/>
      <c r="E12" s="4"/>
      <c r="F12" s="3"/>
      <c r="G12" s="2"/>
    </row>
    <row r="13" spans="1:7" ht="20.100000000000001" customHeight="1" x14ac:dyDescent="0.25">
      <c r="A13" s="2"/>
      <c r="B13" s="2"/>
      <c r="C13" s="2"/>
      <c r="D13" s="3"/>
      <c r="E13" s="4"/>
      <c r="F13" s="3"/>
      <c r="G13" s="2"/>
    </row>
    <row r="14" spans="1:7" ht="20.100000000000001" customHeight="1" x14ac:dyDescent="0.25">
      <c r="A14" s="2"/>
      <c r="B14" s="2"/>
      <c r="C14" s="2"/>
      <c r="D14" s="3"/>
      <c r="E14" s="4"/>
      <c r="F14" s="3"/>
      <c r="G14" s="2"/>
    </row>
    <row r="15" spans="1:7" x14ac:dyDescent="0.25">
      <c r="A15" s="2"/>
      <c r="B15" s="2"/>
      <c r="C15" s="2"/>
      <c r="D15" s="3"/>
      <c r="E15" s="4"/>
      <c r="F15" s="3"/>
      <c r="G15" s="2"/>
    </row>
    <row r="16" spans="1:7" ht="20.100000000000001" customHeight="1" x14ac:dyDescent="0.25">
      <c r="A16" s="2"/>
      <c r="B16" s="2"/>
      <c r="C16" s="2"/>
      <c r="D16" s="3"/>
      <c r="E16" s="4"/>
      <c r="F16" s="3"/>
      <c r="G16" s="2"/>
    </row>
    <row r="17" spans="1:7" ht="15" customHeight="1" x14ac:dyDescent="0.25">
      <c r="A17" s="2"/>
      <c r="B17" s="2"/>
      <c r="C17" s="2"/>
      <c r="D17" s="3"/>
      <c r="E17" s="4"/>
      <c r="F17" s="3"/>
      <c r="G17" s="2"/>
    </row>
    <row r="18" spans="1:7" ht="15" customHeight="1" x14ac:dyDescent="0.25">
      <c r="A18" s="2"/>
      <c r="B18" s="2"/>
      <c r="C18" s="2"/>
      <c r="D18" s="3"/>
      <c r="E18" s="4"/>
      <c r="F18" s="3"/>
      <c r="G18" s="2"/>
    </row>
    <row r="19" spans="1:7" ht="15" customHeight="1" x14ac:dyDescent="0.25">
      <c r="A19" s="2"/>
      <c r="B19" s="2"/>
      <c r="C19" s="2"/>
      <c r="D19" s="3"/>
      <c r="E19" s="4"/>
      <c r="F19" s="3"/>
      <c r="G19" s="2"/>
    </row>
    <row r="20" spans="1:7" x14ac:dyDescent="0.25">
      <c r="A20" s="2"/>
      <c r="B20" s="2"/>
      <c r="C20" s="2"/>
      <c r="D20" s="3"/>
      <c r="E20" s="4"/>
      <c r="F20" s="3"/>
      <c r="G20" s="2"/>
    </row>
    <row r="21" spans="1:7" ht="15.95" customHeight="1" x14ac:dyDescent="0.25">
      <c r="A21" s="2"/>
      <c r="B21" s="2"/>
      <c r="C21" s="2"/>
      <c r="D21" s="3"/>
      <c r="E21" s="4"/>
      <c r="F21" s="3"/>
      <c r="G21" s="2"/>
    </row>
    <row r="22" spans="1:7" ht="15.95" customHeight="1" x14ac:dyDescent="0.25">
      <c r="A22" s="2"/>
      <c r="B22" s="2"/>
      <c r="C22" s="2"/>
      <c r="D22" s="3"/>
      <c r="E22" s="4"/>
      <c r="F22" s="3"/>
      <c r="G22" s="2"/>
    </row>
    <row r="23" spans="1:7" ht="15.95" customHeight="1" x14ac:dyDescent="0.25">
      <c r="A23" s="2"/>
      <c r="B23" s="2"/>
      <c r="C23" s="2"/>
      <c r="D23" s="3"/>
      <c r="E23" s="4"/>
      <c r="F23" s="3"/>
      <c r="G23" s="2"/>
    </row>
    <row r="24" spans="1:7" ht="15.95" customHeight="1" x14ac:dyDescent="0.25">
      <c r="A24" s="2"/>
      <c r="B24" s="2"/>
      <c r="C24" s="2"/>
      <c r="D24" s="3"/>
      <c r="E24" s="4"/>
      <c r="F24" s="3"/>
      <c r="G24" s="2"/>
    </row>
    <row r="25" spans="1:7" x14ac:dyDescent="0.25">
      <c r="A25" s="2">
        <v>2025</v>
      </c>
      <c r="B25" s="2" t="s">
        <v>83</v>
      </c>
      <c r="C25" s="2">
        <v>0.46</v>
      </c>
      <c r="D25" s="3" t="s">
        <v>84</v>
      </c>
      <c r="E25" s="18">
        <v>1526</v>
      </c>
      <c r="F25" s="19">
        <v>0.70199999999999996</v>
      </c>
      <c r="G25" s="2" t="s">
        <v>85</v>
      </c>
    </row>
    <row r="26" spans="1:7" x14ac:dyDescent="0.25">
      <c r="A26" s="2">
        <v>2025</v>
      </c>
      <c r="B26" s="2" t="s">
        <v>86</v>
      </c>
      <c r="C26" s="2">
        <v>0.04</v>
      </c>
      <c r="D26" s="3" t="s">
        <v>84</v>
      </c>
      <c r="E26" s="18">
        <v>4</v>
      </c>
      <c r="F26" s="19">
        <v>2.0000000000000001E-4</v>
      </c>
      <c r="G26" s="2" t="s">
        <v>87</v>
      </c>
    </row>
    <row r="27" spans="1:7" x14ac:dyDescent="0.25">
      <c r="A27" s="2">
        <v>2025</v>
      </c>
      <c r="B27" s="2" t="s">
        <v>88</v>
      </c>
      <c r="C27" s="2">
        <v>202.5</v>
      </c>
      <c r="D27" s="3" t="s">
        <v>84</v>
      </c>
      <c r="E27" s="18">
        <v>2088</v>
      </c>
      <c r="F27" s="19">
        <v>422.82</v>
      </c>
      <c r="G27" s="2" t="s">
        <v>89</v>
      </c>
    </row>
    <row r="28" spans="1:7" x14ac:dyDescent="0.25">
      <c r="A28" s="2">
        <v>2025</v>
      </c>
      <c r="B28" s="2" t="s">
        <v>90</v>
      </c>
      <c r="C28" s="2">
        <v>1.25</v>
      </c>
      <c r="D28" s="3" t="s">
        <v>84</v>
      </c>
      <c r="E28" s="18">
        <v>771</v>
      </c>
      <c r="F28" s="19">
        <v>0.9637</v>
      </c>
      <c r="G28" s="2" t="s">
        <v>91</v>
      </c>
    </row>
    <row r="29" spans="1:7" x14ac:dyDescent="0.25">
      <c r="A29" s="2">
        <v>2025</v>
      </c>
      <c r="B29" s="2" t="s">
        <v>92</v>
      </c>
      <c r="C29" s="2">
        <v>7.5</v>
      </c>
      <c r="D29" s="3" t="s">
        <v>84</v>
      </c>
      <c r="E29" s="18">
        <v>1774</v>
      </c>
      <c r="F29" s="19">
        <v>13.305</v>
      </c>
      <c r="G29" s="2" t="s">
        <v>93</v>
      </c>
    </row>
    <row r="30" spans="1:7" x14ac:dyDescent="0.25">
      <c r="A30" s="2">
        <v>2025</v>
      </c>
      <c r="B30" s="2" t="s">
        <v>94</v>
      </c>
      <c r="C30" s="2">
        <v>12</v>
      </c>
      <c r="D30" s="3" t="s">
        <v>84</v>
      </c>
      <c r="E30" s="18">
        <v>8060</v>
      </c>
      <c r="F30" s="19">
        <v>96.72</v>
      </c>
      <c r="G30" s="2" t="s">
        <v>95</v>
      </c>
    </row>
    <row r="31" spans="1:7" x14ac:dyDescent="0.25">
      <c r="A31" s="2">
        <v>2025</v>
      </c>
      <c r="B31" s="2" t="s">
        <v>96</v>
      </c>
      <c r="C31" s="2">
        <v>29</v>
      </c>
      <c r="D31" s="3" t="s">
        <v>84</v>
      </c>
      <c r="E31" s="18">
        <v>3220</v>
      </c>
      <c r="F31" s="19">
        <v>93.38</v>
      </c>
      <c r="G31" s="2" t="s">
        <v>95</v>
      </c>
    </row>
    <row r="32" spans="1:7" x14ac:dyDescent="0.25">
      <c r="A32" s="2">
        <v>2025</v>
      </c>
      <c r="B32" s="2" t="s">
        <v>97</v>
      </c>
      <c r="C32" s="2">
        <v>128</v>
      </c>
      <c r="D32" s="3" t="s">
        <v>84</v>
      </c>
      <c r="E32" s="18">
        <v>3220</v>
      </c>
      <c r="F32" s="3"/>
      <c r="G32" s="2"/>
    </row>
    <row r="33" spans="1:7" x14ac:dyDescent="0.25">
      <c r="A33" s="2">
        <v>2025</v>
      </c>
      <c r="B33" s="2" t="s">
        <v>98</v>
      </c>
      <c r="C33" s="2">
        <v>92</v>
      </c>
      <c r="D33" s="3" t="s">
        <v>84</v>
      </c>
      <c r="E33" s="18">
        <v>1</v>
      </c>
      <c r="F33" s="3"/>
      <c r="G33" s="2"/>
    </row>
    <row r="36" spans="1:7" x14ac:dyDescent="0.25">
      <c r="A36" s="49" t="s">
        <v>63</v>
      </c>
      <c r="B36" s="50"/>
      <c r="C36" s="50"/>
      <c r="D36" s="50"/>
      <c r="E36" s="50"/>
      <c r="F36" s="50"/>
      <c r="G36" s="51"/>
    </row>
    <row r="37" spans="1:7" x14ac:dyDescent="0.25">
      <c r="A37" s="52" t="s">
        <v>99</v>
      </c>
      <c r="B37" s="52"/>
      <c r="C37" s="52"/>
      <c r="D37" s="52"/>
      <c r="E37" s="52"/>
      <c r="F37" s="52"/>
      <c r="G37" s="52"/>
    </row>
    <row r="38" spans="1:7" x14ac:dyDescent="0.25">
      <c r="A38" s="37" t="s">
        <v>100</v>
      </c>
      <c r="B38" s="33"/>
      <c r="C38" s="33"/>
      <c r="D38" s="33"/>
      <c r="E38" s="33"/>
      <c r="F38" s="33"/>
      <c r="G38" s="33"/>
    </row>
    <row r="39" spans="1:7" x14ac:dyDescent="0.25">
      <c r="A39" s="37" t="s">
        <v>101</v>
      </c>
      <c r="B39" s="33"/>
      <c r="C39" s="33"/>
      <c r="D39" s="33"/>
      <c r="E39" s="33"/>
      <c r="F39" s="33"/>
      <c r="G39" s="33"/>
    </row>
    <row r="41" spans="1:7" x14ac:dyDescent="0.25">
      <c r="A41" s="5"/>
      <c r="B41" s="6" t="s">
        <v>68</v>
      </c>
    </row>
    <row r="42" spans="1:7" x14ac:dyDescent="0.25">
      <c r="A42" s="7"/>
      <c r="B42" s="8" t="s">
        <v>69</v>
      </c>
    </row>
    <row r="43" spans="1:7" x14ac:dyDescent="0.25">
      <c r="A43" s="9"/>
      <c r="B43" s="10" t="s">
        <v>70</v>
      </c>
    </row>
    <row r="44" spans="1:7" x14ac:dyDescent="0.25">
      <c r="A44" s="11"/>
      <c r="B44" s="12" t="s">
        <v>71</v>
      </c>
    </row>
  </sheetData>
  <mergeCells count="6">
    <mergeCell ref="A39:G39"/>
    <mergeCell ref="A1:G1"/>
    <mergeCell ref="A37:G37"/>
    <mergeCell ref="A38:G38"/>
    <mergeCell ref="A2:G2"/>
    <mergeCell ref="A36:G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showGridLines="0" tabSelected="1" workbookViewId="0">
      <selection activeCell="E19" sqref="E19"/>
    </sheetView>
  </sheetViews>
  <sheetFormatPr defaultRowHeight="15" x14ac:dyDescent="0.25"/>
  <cols>
    <col min="1" max="1" width="8" customWidth="1"/>
    <col min="2" max="2" width="18" customWidth="1"/>
    <col min="3" max="5" width="14" customWidth="1"/>
    <col min="6" max="6" width="28" customWidth="1"/>
  </cols>
  <sheetData>
    <row r="1" spans="1:7" ht="33.950000000000003" customHeight="1" x14ac:dyDescent="0.25">
      <c r="A1" s="42" t="s">
        <v>102</v>
      </c>
      <c r="B1" s="33"/>
      <c r="C1" s="33"/>
      <c r="D1" s="33"/>
      <c r="E1" s="33"/>
      <c r="F1" s="33"/>
    </row>
    <row r="2" spans="1:7" ht="15" customHeight="1" x14ac:dyDescent="0.25">
      <c r="A2" s="38" t="s">
        <v>37</v>
      </c>
      <c r="B2" s="33"/>
      <c r="C2" s="33"/>
      <c r="D2" s="33"/>
      <c r="E2" s="33"/>
      <c r="F2" s="33"/>
    </row>
    <row r="3" spans="1:7" ht="38.1" customHeight="1" x14ac:dyDescent="0.25">
      <c r="A3" s="1" t="s">
        <v>38</v>
      </c>
      <c r="B3" s="30" t="s">
        <v>103</v>
      </c>
      <c r="C3" s="30" t="s">
        <v>104</v>
      </c>
      <c r="D3" s="1" t="s">
        <v>105</v>
      </c>
      <c r="E3" s="1" t="s">
        <v>106</v>
      </c>
      <c r="F3" s="1" t="s">
        <v>82</v>
      </c>
      <c r="G3" s="1" t="s">
        <v>51</v>
      </c>
    </row>
    <row r="4" spans="1:7" ht="20.100000000000001" customHeight="1" x14ac:dyDescent="0.25">
      <c r="A4" s="2">
        <v>2025</v>
      </c>
      <c r="B4" s="2">
        <v>1416240</v>
      </c>
      <c r="C4" s="31" t="s">
        <v>107</v>
      </c>
      <c r="D4" s="4">
        <v>0.46899999999999997</v>
      </c>
      <c r="E4" s="4" t="s">
        <v>108</v>
      </c>
      <c r="F4" s="19">
        <v>664.21659999999997</v>
      </c>
      <c r="G4" s="2" t="s">
        <v>109</v>
      </c>
    </row>
    <row r="5" spans="1:7" ht="20.100000000000001" customHeight="1" x14ac:dyDescent="0.25">
      <c r="A5" s="2"/>
      <c r="B5" s="2"/>
      <c r="C5" s="31" t="s">
        <v>107</v>
      </c>
      <c r="D5" s="4"/>
      <c r="E5" s="4"/>
      <c r="F5" s="16"/>
      <c r="G5" s="2"/>
    </row>
    <row r="6" spans="1:7" ht="20.100000000000001" customHeight="1" x14ac:dyDescent="0.25">
      <c r="A6" s="2"/>
      <c r="B6" s="2"/>
      <c r="C6" s="31" t="s">
        <v>107</v>
      </c>
      <c r="D6" s="4"/>
      <c r="E6" s="4"/>
      <c r="F6" s="3"/>
      <c r="G6" s="2"/>
    </row>
    <row r="7" spans="1:7" ht="20.100000000000001" customHeight="1" x14ac:dyDescent="0.25">
      <c r="A7" s="2"/>
      <c r="B7" s="2"/>
      <c r="C7" s="31" t="s">
        <v>107</v>
      </c>
      <c r="D7" s="4"/>
      <c r="E7" s="4"/>
      <c r="F7" s="3"/>
      <c r="G7" s="2"/>
    </row>
    <row r="8" spans="1:7" ht="20.100000000000001" customHeight="1" x14ac:dyDescent="0.25">
      <c r="A8" s="2"/>
      <c r="B8" s="2"/>
      <c r="C8" s="31" t="s">
        <v>107</v>
      </c>
      <c r="D8" s="4"/>
      <c r="E8" s="4"/>
      <c r="F8" s="3"/>
      <c r="G8" s="2"/>
    </row>
    <row r="9" spans="1:7" ht="20.100000000000001" customHeight="1" x14ac:dyDescent="0.25">
      <c r="A9" s="2"/>
      <c r="B9" s="2"/>
      <c r="C9" s="31" t="s">
        <v>107</v>
      </c>
      <c r="D9" s="4"/>
      <c r="E9" s="4"/>
      <c r="F9" s="3"/>
      <c r="G9" s="2"/>
    </row>
    <row r="11" spans="1:7" ht="20.100000000000001" customHeight="1" x14ac:dyDescent="0.25">
      <c r="A11" s="39" t="s">
        <v>63</v>
      </c>
      <c r="B11" s="40"/>
      <c r="C11" s="33"/>
      <c r="D11" s="40"/>
      <c r="E11" s="40"/>
      <c r="F11" s="40"/>
      <c r="G11" s="29"/>
    </row>
    <row r="12" spans="1:7" ht="15" customHeight="1" x14ac:dyDescent="0.25">
      <c r="A12" s="37" t="s">
        <v>110</v>
      </c>
      <c r="B12" s="33"/>
      <c r="C12" s="33"/>
      <c r="D12" s="33"/>
      <c r="E12" s="33"/>
      <c r="F12" s="33"/>
    </row>
    <row r="13" spans="1:7" ht="15" customHeight="1" x14ac:dyDescent="0.25">
      <c r="A13" s="37" t="s">
        <v>111</v>
      </c>
      <c r="B13" s="33"/>
      <c r="C13" s="33"/>
      <c r="D13" s="33"/>
      <c r="E13" s="33"/>
      <c r="F13" s="33"/>
    </row>
    <row r="14" spans="1:7" ht="15" customHeight="1" x14ac:dyDescent="0.25">
      <c r="A14" s="37" t="s">
        <v>112</v>
      </c>
      <c r="B14" s="33"/>
      <c r="C14" s="33"/>
      <c r="D14" s="33"/>
      <c r="E14" s="33"/>
      <c r="F14" s="33"/>
    </row>
    <row r="16" spans="1:7" ht="15.95" customHeight="1" x14ac:dyDescent="0.25">
      <c r="A16" s="5"/>
      <c r="B16" s="6" t="s">
        <v>68</v>
      </c>
    </row>
    <row r="17" spans="1:2" ht="15.95" customHeight="1" x14ac:dyDescent="0.25">
      <c r="A17" s="7"/>
      <c r="B17" s="8" t="s">
        <v>69</v>
      </c>
    </row>
    <row r="18" spans="1:2" ht="15.95" customHeight="1" x14ac:dyDescent="0.25">
      <c r="A18" s="9"/>
      <c r="B18" s="10" t="s">
        <v>70</v>
      </c>
    </row>
    <row r="19" spans="1:2" ht="15.95" customHeight="1" x14ac:dyDescent="0.25">
      <c r="A19" s="11"/>
      <c r="B19" s="12" t="s">
        <v>71</v>
      </c>
    </row>
  </sheetData>
  <mergeCells count="6">
    <mergeCell ref="A2:F2"/>
    <mergeCell ref="A11:F11"/>
    <mergeCell ref="A13:F13"/>
    <mergeCell ref="A14:F14"/>
    <mergeCell ref="A1:F1"/>
    <mergeCell ref="A12:F12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showGridLines="0" workbookViewId="0">
      <selection activeCell="A13" sqref="A13:I13"/>
    </sheetView>
  </sheetViews>
  <sheetFormatPr defaultRowHeight="15" x14ac:dyDescent="0.25"/>
  <cols>
    <col min="1" max="1" width="8" customWidth="1"/>
    <col min="2" max="2" width="10" customWidth="1"/>
    <col min="3" max="3" width="24" customWidth="1"/>
    <col min="4" max="4" width="22" customWidth="1"/>
    <col min="5" max="5" width="18" customWidth="1"/>
    <col min="6" max="8" width="14" customWidth="1"/>
    <col min="9" max="9" width="24" customWidth="1"/>
  </cols>
  <sheetData>
    <row r="1" spans="1:10" ht="33.950000000000003" customHeight="1" x14ac:dyDescent="0.25">
      <c r="A1" s="42" t="s">
        <v>113</v>
      </c>
      <c r="B1" s="33"/>
      <c r="C1" s="33"/>
      <c r="D1" s="33"/>
      <c r="E1" s="33"/>
      <c r="F1" s="33"/>
      <c r="G1" s="33"/>
      <c r="H1" s="33"/>
      <c r="I1" s="33"/>
    </row>
    <row r="2" spans="1:10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10" ht="38.1" customHeight="1" x14ac:dyDescent="0.25">
      <c r="A3" s="1" t="s">
        <v>38</v>
      </c>
      <c r="B3" s="1" t="s">
        <v>114</v>
      </c>
      <c r="C3" s="1" t="s">
        <v>39</v>
      </c>
      <c r="D3" s="1" t="s">
        <v>115</v>
      </c>
      <c r="E3" s="1" t="s">
        <v>116</v>
      </c>
      <c r="F3" s="30" t="s">
        <v>117</v>
      </c>
      <c r="G3" s="30" t="s">
        <v>104</v>
      </c>
      <c r="H3" s="1" t="s">
        <v>118</v>
      </c>
      <c r="I3" s="1" t="s">
        <v>82</v>
      </c>
      <c r="J3" s="1" t="s">
        <v>51</v>
      </c>
    </row>
    <row r="4" spans="1:10" ht="20.100000000000001" customHeight="1" x14ac:dyDescent="0.25">
      <c r="A4" s="23">
        <v>2025</v>
      </c>
      <c r="B4" s="2" t="s">
        <v>119</v>
      </c>
      <c r="C4" s="2" t="s">
        <v>120</v>
      </c>
      <c r="D4" s="2" t="s">
        <v>121</v>
      </c>
      <c r="E4" s="2" t="s">
        <v>122</v>
      </c>
      <c r="F4" s="2">
        <v>0</v>
      </c>
      <c r="G4" s="31" t="s">
        <v>123</v>
      </c>
      <c r="H4" s="17">
        <v>8.2229999999999998E-2</v>
      </c>
      <c r="I4" s="19">
        <v>0</v>
      </c>
      <c r="J4" s="2"/>
    </row>
    <row r="5" spans="1:10" ht="20.100000000000001" customHeight="1" x14ac:dyDescent="0.25">
      <c r="A5" s="23">
        <v>2025</v>
      </c>
      <c r="B5" s="2" t="s">
        <v>124</v>
      </c>
      <c r="C5" s="2" t="s">
        <v>120</v>
      </c>
      <c r="D5" s="2" t="s">
        <v>125</v>
      </c>
      <c r="E5" s="2" t="s">
        <v>126</v>
      </c>
      <c r="F5" s="2">
        <v>0</v>
      </c>
      <c r="G5" s="31" t="s">
        <v>123</v>
      </c>
      <c r="H5" s="18">
        <v>0.14843999999999999</v>
      </c>
      <c r="I5" s="19">
        <v>0</v>
      </c>
      <c r="J5" s="2"/>
    </row>
    <row r="6" spans="1:10" ht="20.100000000000001" customHeight="1" x14ac:dyDescent="0.25">
      <c r="A6" s="2"/>
      <c r="B6" s="2"/>
      <c r="C6" s="2"/>
      <c r="D6" s="2"/>
      <c r="E6" s="2"/>
      <c r="F6" s="2"/>
      <c r="G6" s="31" t="s">
        <v>123</v>
      </c>
      <c r="H6" s="4"/>
      <c r="I6" s="3"/>
      <c r="J6" s="2"/>
    </row>
    <row r="7" spans="1:10" ht="20.100000000000001" customHeight="1" x14ac:dyDescent="0.25">
      <c r="A7" s="2"/>
      <c r="B7" s="2"/>
      <c r="C7" s="2"/>
      <c r="D7" s="2"/>
      <c r="E7" s="2"/>
      <c r="F7" s="2"/>
      <c r="G7" s="31" t="s">
        <v>123</v>
      </c>
      <c r="H7" s="4"/>
      <c r="I7" s="3"/>
      <c r="J7" s="2"/>
    </row>
    <row r="8" spans="1:10" ht="20.100000000000001" customHeight="1" x14ac:dyDescent="0.25">
      <c r="A8" s="2"/>
      <c r="B8" s="2"/>
      <c r="C8" s="2"/>
      <c r="D8" s="2"/>
      <c r="E8" s="2"/>
      <c r="F8" s="2"/>
      <c r="G8" s="31" t="s">
        <v>123</v>
      </c>
      <c r="H8" s="4"/>
      <c r="I8" s="3"/>
      <c r="J8" s="2"/>
    </row>
    <row r="9" spans="1:10" ht="20.100000000000001" customHeight="1" x14ac:dyDescent="0.25">
      <c r="A9" s="2"/>
      <c r="B9" s="2"/>
      <c r="C9" s="2"/>
      <c r="D9" s="2"/>
      <c r="E9" s="2"/>
      <c r="F9" s="2"/>
      <c r="G9" s="31" t="s">
        <v>123</v>
      </c>
      <c r="H9" s="4"/>
      <c r="I9" s="3"/>
      <c r="J9" s="2"/>
    </row>
    <row r="11" spans="1:10" ht="20.100000000000001" customHeight="1" x14ac:dyDescent="0.25">
      <c r="A11" s="39" t="s">
        <v>63</v>
      </c>
      <c r="B11" s="40"/>
      <c r="C11" s="40"/>
      <c r="D11" s="40"/>
      <c r="E11" s="40"/>
      <c r="F11" s="40"/>
      <c r="G11" s="33"/>
      <c r="H11" s="40"/>
      <c r="I11" s="40"/>
      <c r="J11" s="29"/>
    </row>
    <row r="12" spans="1:10" ht="15" customHeight="1" x14ac:dyDescent="0.25">
      <c r="A12" s="37" t="s">
        <v>127</v>
      </c>
      <c r="B12" s="33"/>
      <c r="C12" s="33"/>
      <c r="D12" s="33"/>
      <c r="E12" s="33"/>
      <c r="F12" s="33"/>
      <c r="G12" s="33"/>
      <c r="H12" s="33"/>
      <c r="I12" s="33"/>
    </row>
    <row r="13" spans="1:10" ht="15" customHeight="1" x14ac:dyDescent="0.25">
      <c r="A13" s="37" t="s">
        <v>128</v>
      </c>
      <c r="B13" s="33"/>
      <c r="C13" s="33"/>
      <c r="D13" s="33"/>
      <c r="E13" s="33"/>
      <c r="F13" s="33"/>
      <c r="G13" s="33"/>
      <c r="H13" s="33"/>
      <c r="I13" s="33"/>
    </row>
    <row r="15" spans="1:10" ht="15.95" customHeight="1" x14ac:dyDescent="0.25">
      <c r="A15" s="5"/>
      <c r="B15" s="6" t="s">
        <v>68</v>
      </c>
    </row>
    <row r="16" spans="1:10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4" customWidth="1"/>
    <col min="4" max="4" width="22" customWidth="1"/>
    <col min="5" max="5" width="18" customWidth="1"/>
    <col min="6" max="8" width="14" customWidth="1"/>
    <col min="9" max="9" width="24" customWidth="1"/>
  </cols>
  <sheetData>
    <row r="1" spans="1:10" ht="33.950000000000003" customHeight="1" x14ac:dyDescent="0.25">
      <c r="A1" s="42" t="s">
        <v>129</v>
      </c>
      <c r="B1" s="33"/>
      <c r="C1" s="33"/>
      <c r="D1" s="33"/>
      <c r="E1" s="33"/>
      <c r="F1" s="33"/>
      <c r="G1" s="33"/>
      <c r="H1" s="33"/>
      <c r="I1" s="33"/>
    </row>
    <row r="2" spans="1:10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10" ht="38.1" customHeight="1" x14ac:dyDescent="0.25">
      <c r="A3" s="1" t="s">
        <v>38</v>
      </c>
      <c r="B3" s="1" t="s">
        <v>114</v>
      </c>
      <c r="C3" s="1" t="s">
        <v>39</v>
      </c>
      <c r="D3" s="1" t="s">
        <v>115</v>
      </c>
      <c r="E3" s="1" t="s">
        <v>116</v>
      </c>
      <c r="F3" s="30" t="s">
        <v>117</v>
      </c>
      <c r="G3" s="30" t="s">
        <v>104</v>
      </c>
      <c r="H3" s="1" t="s">
        <v>118</v>
      </c>
      <c r="I3" s="1" t="s">
        <v>82</v>
      </c>
      <c r="J3" s="1" t="s">
        <v>51</v>
      </c>
    </row>
    <row r="4" spans="1:10" ht="20.100000000000001" customHeight="1" x14ac:dyDescent="0.25">
      <c r="A4" s="23">
        <v>2025</v>
      </c>
      <c r="B4" s="2" t="s">
        <v>130</v>
      </c>
      <c r="C4" s="2" t="s">
        <v>131</v>
      </c>
      <c r="D4" s="2" t="s">
        <v>121</v>
      </c>
      <c r="E4" s="2" t="s">
        <v>122</v>
      </c>
      <c r="F4" s="2">
        <v>0</v>
      </c>
      <c r="G4" s="31" t="s">
        <v>123</v>
      </c>
      <c r="H4" s="17">
        <v>8.2229999999999998E-2</v>
      </c>
      <c r="I4" s="19">
        <v>0</v>
      </c>
      <c r="J4" s="2"/>
    </row>
    <row r="5" spans="1:10" ht="20.100000000000001" customHeight="1" x14ac:dyDescent="0.25">
      <c r="A5" s="23">
        <v>2025</v>
      </c>
      <c r="B5" s="2" t="s">
        <v>132</v>
      </c>
      <c r="C5" s="2" t="s">
        <v>131</v>
      </c>
      <c r="D5" s="2" t="s">
        <v>125</v>
      </c>
      <c r="E5" s="2" t="s">
        <v>126</v>
      </c>
      <c r="F5" s="2">
        <v>0</v>
      </c>
      <c r="G5" s="31" t="s">
        <v>123</v>
      </c>
      <c r="H5" s="18">
        <v>0.14843999999999999</v>
      </c>
      <c r="I5" s="19">
        <v>0</v>
      </c>
      <c r="J5" s="2"/>
    </row>
    <row r="6" spans="1:10" ht="20.100000000000001" customHeight="1" x14ac:dyDescent="0.25">
      <c r="A6" s="2"/>
      <c r="B6" s="2"/>
      <c r="C6" s="2"/>
      <c r="D6" s="2"/>
      <c r="E6" s="2"/>
      <c r="F6" s="2"/>
      <c r="H6" s="4"/>
      <c r="I6" s="3"/>
      <c r="J6" s="2"/>
    </row>
    <row r="7" spans="1:10" ht="20.100000000000001" customHeight="1" x14ac:dyDescent="0.25">
      <c r="A7" s="2"/>
      <c r="B7" s="2"/>
      <c r="C7" s="2"/>
      <c r="D7" s="2"/>
      <c r="E7" s="2"/>
      <c r="F7" s="2"/>
      <c r="H7" s="4"/>
      <c r="I7" s="3"/>
      <c r="J7" s="2"/>
    </row>
    <row r="8" spans="1:10" ht="20.100000000000001" customHeight="1" x14ac:dyDescent="0.25">
      <c r="A8" s="2"/>
      <c r="B8" s="2"/>
      <c r="C8" s="2"/>
      <c r="D8" s="2"/>
      <c r="E8" s="2"/>
      <c r="F8" s="2"/>
      <c r="H8" s="4"/>
      <c r="I8" s="3"/>
      <c r="J8" s="2"/>
    </row>
    <row r="9" spans="1:10" ht="20.100000000000001" customHeight="1" x14ac:dyDescent="0.25">
      <c r="A9" s="2"/>
      <c r="B9" s="2"/>
      <c r="C9" s="2"/>
      <c r="D9" s="2"/>
      <c r="E9" s="2"/>
      <c r="F9" s="2"/>
      <c r="H9" s="4"/>
      <c r="I9" s="3"/>
      <c r="J9" s="2"/>
    </row>
    <row r="11" spans="1:10" ht="20.100000000000001" customHeight="1" x14ac:dyDescent="0.25">
      <c r="A11" s="39" t="s">
        <v>63</v>
      </c>
      <c r="B11" s="40"/>
      <c r="C11" s="40"/>
      <c r="D11" s="40"/>
      <c r="E11" s="40"/>
      <c r="F11" s="40"/>
      <c r="G11" s="33"/>
      <c r="H11" s="40"/>
      <c r="I11" s="40"/>
      <c r="J11" s="29"/>
    </row>
    <row r="12" spans="1:10" ht="15" customHeight="1" x14ac:dyDescent="0.25">
      <c r="A12" s="37" t="s">
        <v>133</v>
      </c>
      <c r="B12" s="33"/>
      <c r="C12" s="33"/>
      <c r="D12" s="33"/>
      <c r="E12" s="33"/>
      <c r="F12" s="33"/>
      <c r="G12" s="33"/>
      <c r="H12" s="33"/>
      <c r="I12" s="33"/>
    </row>
    <row r="13" spans="1:10" ht="15" customHeight="1" x14ac:dyDescent="0.25">
      <c r="A13" s="37" t="s">
        <v>128</v>
      </c>
      <c r="B13" s="33"/>
      <c r="C13" s="33"/>
      <c r="D13" s="33"/>
      <c r="E13" s="33"/>
      <c r="F13" s="33"/>
      <c r="G13" s="33"/>
      <c r="H13" s="33"/>
      <c r="I13" s="33"/>
    </row>
    <row r="15" spans="1:10" ht="15.95" customHeight="1" x14ac:dyDescent="0.25">
      <c r="A15" s="5"/>
      <c r="B15" s="6" t="s">
        <v>68</v>
      </c>
    </row>
    <row r="16" spans="1:10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9"/>
  <sheetViews>
    <sheetView showGridLines="0" workbookViewId="0">
      <selection sqref="A1:O1"/>
    </sheetView>
  </sheetViews>
  <sheetFormatPr defaultRowHeight="15" x14ac:dyDescent="0.25"/>
  <cols>
    <col min="1" max="1" width="8" customWidth="1"/>
    <col min="2" max="2" width="10" customWidth="1"/>
    <col min="3" max="3" width="22" customWidth="1"/>
    <col min="4" max="4" width="18" customWidth="1"/>
    <col min="5" max="5" width="14" customWidth="1"/>
    <col min="6" max="6" width="8" customWidth="1"/>
    <col min="7" max="7" width="12" customWidth="1"/>
    <col min="8" max="10" width="14" customWidth="1"/>
    <col min="11" max="12" width="10" customWidth="1"/>
    <col min="13" max="13" width="12" customWidth="1"/>
    <col min="14" max="14" width="14" customWidth="1"/>
    <col min="15" max="15" width="22" customWidth="1"/>
  </cols>
  <sheetData>
    <row r="1" spans="1:15" ht="33.950000000000003" customHeight="1" x14ac:dyDescent="0.25">
      <c r="A1" s="42" t="s">
        <v>134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ht="38.1" customHeight="1" x14ac:dyDescent="0.25">
      <c r="A3" s="1" t="s">
        <v>38</v>
      </c>
      <c r="B3" s="1" t="s">
        <v>114</v>
      </c>
      <c r="C3" s="1" t="s">
        <v>39</v>
      </c>
      <c r="D3" s="1" t="s">
        <v>40</v>
      </c>
      <c r="E3" s="1" t="s">
        <v>41</v>
      </c>
      <c r="F3" s="1" t="s">
        <v>80</v>
      </c>
      <c r="G3" s="1" t="s">
        <v>135</v>
      </c>
      <c r="H3" s="1" t="s">
        <v>136</v>
      </c>
      <c r="I3" s="1" t="s">
        <v>137</v>
      </c>
      <c r="J3" s="1" t="s">
        <v>138</v>
      </c>
      <c r="K3" s="1" t="s">
        <v>139</v>
      </c>
      <c r="L3" s="1" t="s">
        <v>140</v>
      </c>
      <c r="M3" s="1" t="s">
        <v>141</v>
      </c>
      <c r="N3" s="1" t="s">
        <v>82</v>
      </c>
      <c r="O3" s="1" t="s">
        <v>51</v>
      </c>
    </row>
    <row r="4" spans="1:15" ht="20.100000000000001" customHeight="1" x14ac:dyDescent="0.25">
      <c r="A4" s="23">
        <v>2025</v>
      </c>
      <c r="B4" s="2" t="s">
        <v>142</v>
      </c>
      <c r="C4" s="2" t="s">
        <v>143</v>
      </c>
      <c r="D4" s="2" t="s">
        <v>62</v>
      </c>
      <c r="E4" s="2">
        <v>0</v>
      </c>
      <c r="F4" s="3" t="s">
        <v>58</v>
      </c>
      <c r="G4" s="4">
        <v>44.3</v>
      </c>
      <c r="H4" s="4">
        <v>69.3</v>
      </c>
      <c r="I4" s="4">
        <v>0.01</v>
      </c>
      <c r="J4" s="4">
        <v>6.0000000000000002E-5</v>
      </c>
      <c r="K4" s="4">
        <v>29.8</v>
      </c>
      <c r="L4" s="4">
        <v>273</v>
      </c>
      <c r="M4" s="4">
        <v>7.45E-4</v>
      </c>
      <c r="N4" s="19">
        <v>0</v>
      </c>
      <c r="O4" s="2"/>
    </row>
    <row r="5" spans="1:15" ht="20.100000000000001" customHeight="1" x14ac:dyDescent="0.25">
      <c r="A5" s="23">
        <v>2025</v>
      </c>
      <c r="B5" s="2" t="s">
        <v>144</v>
      </c>
      <c r="C5" s="2" t="s">
        <v>143</v>
      </c>
      <c r="D5" s="2" t="s">
        <v>57</v>
      </c>
      <c r="E5" s="2">
        <v>0</v>
      </c>
      <c r="F5" s="3" t="s">
        <v>58</v>
      </c>
      <c r="G5" s="4">
        <v>43</v>
      </c>
      <c r="H5" s="4">
        <v>74.099999999999994</v>
      </c>
      <c r="I5" s="4">
        <v>0.01</v>
      </c>
      <c r="J5" s="4">
        <v>6.0000000000000002E-5</v>
      </c>
      <c r="K5" s="4">
        <v>29.8</v>
      </c>
      <c r="L5" s="4">
        <v>273</v>
      </c>
      <c r="M5" s="4">
        <v>8.3199999999999995E-4</v>
      </c>
      <c r="N5" s="19">
        <v>0</v>
      </c>
      <c r="O5" s="2"/>
    </row>
    <row r="6" spans="1:15" ht="20.100000000000001" customHeight="1" x14ac:dyDescent="0.25">
      <c r="A6" s="23">
        <v>2025</v>
      </c>
      <c r="B6" s="2" t="s">
        <v>145</v>
      </c>
      <c r="C6" s="2" t="s">
        <v>146</v>
      </c>
      <c r="D6" s="2" t="s">
        <v>147</v>
      </c>
      <c r="E6" s="2">
        <v>0</v>
      </c>
      <c r="F6" s="3" t="s">
        <v>58</v>
      </c>
      <c r="G6" s="4">
        <v>43</v>
      </c>
      <c r="H6" s="4">
        <v>74.099999999999994</v>
      </c>
      <c r="I6" s="4">
        <v>0.01</v>
      </c>
      <c r="J6" s="4">
        <v>6.0000000000000002E-5</v>
      </c>
      <c r="K6" s="4">
        <v>29.8</v>
      </c>
      <c r="L6" s="4">
        <v>273</v>
      </c>
      <c r="M6" s="4">
        <v>8.3199999999999995E-4</v>
      </c>
      <c r="N6" s="19">
        <v>0</v>
      </c>
      <c r="O6" s="2"/>
    </row>
    <row r="7" spans="1:15" ht="20.100000000000001" customHeight="1" x14ac:dyDescent="0.25">
      <c r="A7" s="2"/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3"/>
      <c r="O7" s="2"/>
    </row>
    <row r="8" spans="1:15" ht="20.100000000000001" customHeight="1" x14ac:dyDescent="0.25">
      <c r="A8" s="2"/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3"/>
      <c r="O8" s="2"/>
    </row>
    <row r="9" spans="1:15" ht="20.100000000000001" customHeight="1" x14ac:dyDescent="0.25">
      <c r="A9" s="2"/>
      <c r="B9" s="2"/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3"/>
      <c r="O9" s="2"/>
    </row>
    <row r="10" spans="1:15" ht="20.100000000000001" customHeight="1" x14ac:dyDescent="0.25">
      <c r="A10" s="2"/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3"/>
      <c r="O10" s="2"/>
    </row>
    <row r="12" spans="1:15" ht="20.100000000000001" customHeight="1" x14ac:dyDescent="0.25">
      <c r="A12" s="39" t="s">
        <v>63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1"/>
    </row>
    <row r="13" spans="1:15" ht="15" customHeight="1" x14ac:dyDescent="0.25">
      <c r="A13" s="37" t="s">
        <v>148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ht="15" customHeight="1" x14ac:dyDescent="0.25">
      <c r="A14" s="37" t="s">
        <v>76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6" spans="1:15" ht="15.95" customHeight="1" x14ac:dyDescent="0.25">
      <c r="A16" s="5"/>
      <c r="B16" s="6" t="s">
        <v>68</v>
      </c>
    </row>
    <row r="17" spans="1:2" ht="15.95" customHeight="1" x14ac:dyDescent="0.25">
      <c r="A17" s="7"/>
      <c r="B17" s="8" t="s">
        <v>69</v>
      </c>
    </row>
    <row r="18" spans="1:2" ht="15.95" customHeight="1" x14ac:dyDescent="0.25">
      <c r="A18" s="9"/>
      <c r="B18" s="10" t="s">
        <v>70</v>
      </c>
    </row>
    <row r="19" spans="1:2" ht="15.95" customHeight="1" x14ac:dyDescent="0.25">
      <c r="A19" s="11"/>
      <c r="B19" s="12" t="s">
        <v>71</v>
      </c>
    </row>
  </sheetData>
  <mergeCells count="5">
    <mergeCell ref="A12:O12"/>
    <mergeCell ref="A2:O2"/>
    <mergeCell ref="A13:O13"/>
    <mergeCell ref="A14:O14"/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6" customWidth="1"/>
    <col min="4" max="4" width="22" customWidth="1"/>
    <col min="5" max="5" width="18" customWidth="1"/>
    <col min="6" max="8" width="14" customWidth="1"/>
    <col min="9" max="9" width="24" customWidth="1"/>
  </cols>
  <sheetData>
    <row r="1" spans="1:10" ht="33.950000000000003" customHeight="1" x14ac:dyDescent="0.25">
      <c r="A1" s="42" t="s">
        <v>149</v>
      </c>
      <c r="B1" s="33"/>
      <c r="C1" s="33"/>
      <c r="D1" s="33"/>
      <c r="E1" s="33"/>
      <c r="F1" s="33"/>
      <c r="G1" s="33"/>
      <c r="H1" s="33"/>
      <c r="I1" s="33"/>
    </row>
    <row r="2" spans="1:10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10" ht="38.1" customHeight="1" x14ac:dyDescent="0.25">
      <c r="A3" s="1" t="s">
        <v>38</v>
      </c>
      <c r="B3" s="1" t="s">
        <v>114</v>
      </c>
      <c r="C3" s="1" t="s">
        <v>39</v>
      </c>
      <c r="D3" s="1" t="s">
        <v>115</v>
      </c>
      <c r="E3" s="1" t="s">
        <v>116</v>
      </c>
      <c r="F3" s="30" t="s">
        <v>117</v>
      </c>
      <c r="G3" s="30" t="s">
        <v>104</v>
      </c>
      <c r="H3" s="1" t="s">
        <v>118</v>
      </c>
      <c r="I3" s="1" t="s">
        <v>82</v>
      </c>
      <c r="J3" s="1" t="s">
        <v>51</v>
      </c>
    </row>
    <row r="4" spans="1:10" ht="20.100000000000001" customHeight="1" x14ac:dyDescent="0.25">
      <c r="A4" s="23">
        <v>2025</v>
      </c>
      <c r="B4" s="2" t="s">
        <v>150</v>
      </c>
      <c r="C4" s="2" t="s">
        <v>151</v>
      </c>
      <c r="D4" s="2" t="s">
        <v>125</v>
      </c>
      <c r="E4" s="2" t="s">
        <v>126</v>
      </c>
      <c r="F4" s="2">
        <v>0</v>
      </c>
      <c r="G4" s="31" t="s">
        <v>123</v>
      </c>
      <c r="H4" s="18">
        <v>0.14843999999999999</v>
      </c>
      <c r="I4" s="19">
        <v>0</v>
      </c>
      <c r="J4" s="2"/>
    </row>
    <row r="5" spans="1:10" ht="20.100000000000001" customHeight="1" x14ac:dyDescent="0.25">
      <c r="A5" s="23">
        <v>2025</v>
      </c>
      <c r="B5" s="2" t="s">
        <v>152</v>
      </c>
      <c r="C5" s="2" t="s">
        <v>151</v>
      </c>
      <c r="D5" s="2" t="s">
        <v>153</v>
      </c>
      <c r="E5" s="2" t="s">
        <v>126</v>
      </c>
      <c r="F5" s="2">
        <v>0</v>
      </c>
      <c r="G5" s="31" t="s">
        <v>123</v>
      </c>
      <c r="H5" s="18">
        <v>0.14843999999999999</v>
      </c>
      <c r="I5" s="19">
        <v>0</v>
      </c>
      <c r="J5" s="2"/>
    </row>
    <row r="6" spans="1:10" ht="20.100000000000001" customHeight="1" x14ac:dyDescent="0.25">
      <c r="A6" s="2"/>
      <c r="B6" s="2"/>
      <c r="C6" s="2"/>
      <c r="D6" s="2"/>
      <c r="E6" s="2"/>
      <c r="F6" s="2"/>
      <c r="H6" s="4"/>
      <c r="I6" s="3"/>
      <c r="J6" s="2"/>
    </row>
    <row r="7" spans="1:10" ht="20.100000000000001" customHeight="1" x14ac:dyDescent="0.25">
      <c r="A7" s="2"/>
      <c r="B7" s="2"/>
      <c r="C7" s="2"/>
      <c r="D7" s="2"/>
      <c r="E7" s="2"/>
      <c r="F7" s="2"/>
      <c r="H7" s="4"/>
      <c r="I7" s="3"/>
      <c r="J7" s="2"/>
    </row>
    <row r="8" spans="1:10" ht="20.100000000000001" customHeight="1" x14ac:dyDescent="0.25">
      <c r="A8" s="2"/>
      <c r="B8" s="2"/>
      <c r="C8" s="2"/>
      <c r="D8" s="2"/>
      <c r="E8" s="2"/>
      <c r="F8" s="2"/>
      <c r="H8" s="4"/>
      <c r="I8" s="3"/>
      <c r="J8" s="2"/>
    </row>
    <row r="9" spans="1:10" ht="20.100000000000001" customHeight="1" x14ac:dyDescent="0.25">
      <c r="A9" s="2"/>
      <c r="B9" s="2"/>
      <c r="C9" s="2"/>
      <c r="D9" s="2"/>
      <c r="E9" s="2"/>
      <c r="F9" s="2"/>
      <c r="H9" s="4"/>
      <c r="I9" s="3"/>
      <c r="J9" s="2"/>
    </row>
    <row r="11" spans="1:10" ht="20.100000000000001" customHeight="1" x14ac:dyDescent="0.25">
      <c r="A11" s="39" t="s">
        <v>63</v>
      </c>
      <c r="B11" s="40"/>
      <c r="C11" s="40"/>
      <c r="D11" s="40"/>
      <c r="E11" s="40"/>
      <c r="F11" s="40"/>
      <c r="G11" s="33"/>
      <c r="H11" s="40"/>
      <c r="I11" s="40"/>
      <c r="J11" s="29"/>
    </row>
    <row r="12" spans="1:10" ht="15" customHeight="1" x14ac:dyDescent="0.25">
      <c r="A12" s="37" t="s">
        <v>154</v>
      </c>
      <c r="B12" s="33"/>
      <c r="C12" s="33"/>
      <c r="D12" s="33"/>
      <c r="E12" s="33"/>
      <c r="F12" s="33"/>
      <c r="G12" s="33"/>
      <c r="H12" s="33"/>
      <c r="I12" s="33"/>
    </row>
    <row r="13" spans="1:10" ht="15" customHeight="1" x14ac:dyDescent="0.25">
      <c r="A13" s="37" t="s">
        <v>128</v>
      </c>
      <c r="B13" s="33"/>
      <c r="C13" s="33"/>
      <c r="D13" s="33"/>
      <c r="E13" s="33"/>
      <c r="F13" s="33"/>
      <c r="G13" s="33"/>
      <c r="H13" s="33"/>
      <c r="I13" s="33"/>
    </row>
    <row r="15" spans="1:10" ht="15.95" customHeight="1" x14ac:dyDescent="0.25">
      <c r="A15" s="5"/>
      <c r="B15" s="6" t="s">
        <v>68</v>
      </c>
    </row>
    <row r="16" spans="1:10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2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4" customWidth="1"/>
    <col min="5" max="5" width="16" customWidth="1"/>
    <col min="6" max="6" width="14" customWidth="1"/>
    <col min="7" max="7" width="22" customWidth="1"/>
    <col min="8" max="8" width="14" customWidth="1"/>
    <col min="9" max="9" width="22" customWidth="1"/>
  </cols>
  <sheetData>
    <row r="1" spans="1:9" ht="33.950000000000003" customHeight="1" x14ac:dyDescent="0.25">
      <c r="A1" s="42" t="s">
        <v>155</v>
      </c>
      <c r="B1" s="33"/>
      <c r="C1" s="33"/>
      <c r="D1" s="33"/>
      <c r="E1" s="33"/>
      <c r="F1" s="33"/>
      <c r="G1" s="33"/>
      <c r="H1" s="33"/>
      <c r="I1" s="33"/>
    </row>
    <row r="2" spans="1:9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9" ht="38.1" customHeight="1" x14ac:dyDescent="0.25">
      <c r="A3" s="1" t="s">
        <v>38</v>
      </c>
      <c r="B3" s="1" t="s">
        <v>114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  <c r="H3" s="1" t="s">
        <v>82</v>
      </c>
      <c r="I3" s="1" t="s">
        <v>51</v>
      </c>
    </row>
    <row r="4" spans="1:9" ht="20.100000000000001" customHeight="1" x14ac:dyDescent="0.25">
      <c r="A4" s="23">
        <v>2025</v>
      </c>
      <c r="B4" s="2" t="s">
        <v>161</v>
      </c>
      <c r="C4" s="2" t="s">
        <v>162</v>
      </c>
      <c r="D4" s="2">
        <v>0</v>
      </c>
      <c r="E4" s="2">
        <v>0</v>
      </c>
      <c r="F4" s="3" t="e">
        <f>D4/E4</f>
        <v>#DIV/0!</v>
      </c>
      <c r="G4" s="4">
        <v>0</v>
      </c>
      <c r="H4" s="19">
        <v>0</v>
      </c>
      <c r="I4" s="2"/>
    </row>
    <row r="5" spans="1:9" ht="20.100000000000001" customHeight="1" x14ac:dyDescent="0.25">
      <c r="A5" s="23">
        <v>2025</v>
      </c>
      <c r="B5" s="2" t="s">
        <v>163</v>
      </c>
      <c r="C5" s="2" t="s">
        <v>164</v>
      </c>
      <c r="D5" s="2">
        <v>0</v>
      </c>
      <c r="E5" s="2">
        <v>0</v>
      </c>
      <c r="F5" s="3" t="e">
        <f>D5/E5</f>
        <v>#DIV/0!</v>
      </c>
      <c r="G5" s="4">
        <v>0</v>
      </c>
      <c r="H5" s="19">
        <v>0</v>
      </c>
      <c r="I5" s="2"/>
    </row>
    <row r="6" spans="1:9" ht="20.100000000000001" customHeight="1" x14ac:dyDescent="0.25">
      <c r="A6" s="23">
        <v>2025</v>
      </c>
      <c r="B6" s="2" t="s">
        <v>165</v>
      </c>
      <c r="C6" s="2" t="s">
        <v>166</v>
      </c>
      <c r="D6" s="2">
        <v>0</v>
      </c>
      <c r="E6" s="2">
        <v>0</v>
      </c>
      <c r="F6" s="3" t="e">
        <f>D6/E6</f>
        <v>#DIV/0!</v>
      </c>
      <c r="G6" s="4">
        <v>0</v>
      </c>
      <c r="H6" s="19">
        <v>0</v>
      </c>
      <c r="I6" s="2" t="s">
        <v>167</v>
      </c>
    </row>
    <row r="7" spans="1:9" ht="20.100000000000001" customHeight="1" x14ac:dyDescent="0.25">
      <c r="A7" s="23">
        <v>2025</v>
      </c>
      <c r="B7" s="2" t="s">
        <v>168</v>
      </c>
      <c r="C7" s="2" t="s">
        <v>169</v>
      </c>
      <c r="D7" s="2">
        <v>0</v>
      </c>
      <c r="E7" s="2">
        <v>0</v>
      </c>
      <c r="F7" s="3" t="e">
        <f>D7/E7</f>
        <v>#DIV/0!</v>
      </c>
      <c r="G7" s="4">
        <v>0</v>
      </c>
      <c r="H7" s="19">
        <v>0</v>
      </c>
      <c r="I7" s="2" t="s">
        <v>167</v>
      </c>
    </row>
    <row r="8" spans="1:9" ht="20.100000000000001" customHeight="1" x14ac:dyDescent="0.25">
      <c r="A8" s="23">
        <v>2025</v>
      </c>
      <c r="B8" s="2" t="s">
        <v>170</v>
      </c>
      <c r="C8" s="2" t="s">
        <v>171</v>
      </c>
      <c r="D8" s="2">
        <v>0</v>
      </c>
      <c r="E8" s="2">
        <v>0</v>
      </c>
      <c r="F8" s="3" t="e">
        <f>D8/E8</f>
        <v>#DIV/0!</v>
      </c>
      <c r="G8" s="4">
        <v>0</v>
      </c>
      <c r="H8" s="19">
        <v>0</v>
      </c>
      <c r="I8" s="2" t="s">
        <v>167</v>
      </c>
    </row>
    <row r="9" spans="1:9" ht="20.100000000000001" customHeight="1" x14ac:dyDescent="0.25">
      <c r="A9" s="2"/>
      <c r="B9" s="2"/>
      <c r="C9" s="2"/>
      <c r="D9" s="2"/>
      <c r="E9" s="2"/>
      <c r="F9" s="3"/>
      <c r="G9" s="4"/>
      <c r="H9" s="3"/>
      <c r="I9" s="2"/>
    </row>
    <row r="10" spans="1:9" ht="20.100000000000001" customHeight="1" x14ac:dyDescent="0.25">
      <c r="A10" s="2"/>
      <c r="B10" s="2"/>
      <c r="C10" s="2"/>
      <c r="D10" s="2"/>
      <c r="E10" s="2"/>
      <c r="F10" s="3"/>
      <c r="G10" s="4"/>
      <c r="H10" s="3"/>
      <c r="I10" s="2"/>
    </row>
    <row r="11" spans="1:9" ht="20.100000000000001" customHeight="1" x14ac:dyDescent="0.25">
      <c r="A11" s="2"/>
      <c r="B11" s="2"/>
      <c r="C11" s="2"/>
      <c r="D11" s="2"/>
      <c r="E11" s="2"/>
      <c r="F11" s="3"/>
      <c r="G11" s="4"/>
      <c r="H11" s="3"/>
      <c r="I11" s="2"/>
    </row>
    <row r="12" spans="1:9" ht="20.100000000000001" customHeight="1" x14ac:dyDescent="0.25">
      <c r="A12" s="2"/>
      <c r="B12" s="2"/>
      <c r="C12" s="2"/>
      <c r="D12" s="2"/>
      <c r="E12" s="2"/>
      <c r="F12" s="3"/>
      <c r="G12" s="4"/>
      <c r="H12" s="3"/>
      <c r="I12" s="2"/>
    </row>
    <row r="14" spans="1:9" ht="20.100000000000001" customHeight="1" x14ac:dyDescent="0.25">
      <c r="A14" s="39" t="s">
        <v>63</v>
      </c>
      <c r="B14" s="40"/>
      <c r="C14" s="40"/>
      <c r="D14" s="40"/>
      <c r="E14" s="40"/>
      <c r="F14" s="40"/>
      <c r="G14" s="40"/>
      <c r="H14" s="40"/>
      <c r="I14" s="41"/>
    </row>
    <row r="15" spans="1:9" ht="15" customHeight="1" x14ac:dyDescent="0.25">
      <c r="A15" s="37" t="s">
        <v>172</v>
      </c>
      <c r="B15" s="33"/>
      <c r="C15" s="33"/>
      <c r="D15" s="33"/>
      <c r="E15" s="33"/>
      <c r="F15" s="33"/>
      <c r="G15" s="33"/>
      <c r="H15" s="33"/>
      <c r="I15" s="33"/>
    </row>
    <row r="16" spans="1:9" ht="15" customHeight="1" x14ac:dyDescent="0.25">
      <c r="A16" s="37" t="s">
        <v>173</v>
      </c>
      <c r="B16" s="33"/>
      <c r="C16" s="33"/>
      <c r="D16" s="33"/>
      <c r="E16" s="33"/>
      <c r="F16" s="33"/>
      <c r="G16" s="33"/>
      <c r="H16" s="33"/>
      <c r="I16" s="33"/>
    </row>
    <row r="17" spans="1:9" ht="15" customHeight="1" x14ac:dyDescent="0.25">
      <c r="A17" s="37" t="s">
        <v>174</v>
      </c>
      <c r="B17" s="33"/>
      <c r="C17" s="33"/>
      <c r="D17" s="33"/>
      <c r="E17" s="33"/>
      <c r="F17" s="33"/>
      <c r="G17" s="33"/>
      <c r="H17" s="33"/>
      <c r="I17" s="33"/>
    </row>
    <row r="19" spans="1:9" ht="15.95" customHeight="1" x14ac:dyDescent="0.25">
      <c r="A19" s="5"/>
      <c r="B19" s="6" t="s">
        <v>68</v>
      </c>
    </row>
    <row r="20" spans="1:9" ht="15.95" customHeight="1" x14ac:dyDescent="0.25">
      <c r="A20" s="7"/>
      <c r="B20" s="8" t="s">
        <v>69</v>
      </c>
    </row>
    <row r="21" spans="1:9" ht="15.95" customHeight="1" x14ac:dyDescent="0.25">
      <c r="A21" s="9"/>
      <c r="B21" s="10" t="s">
        <v>70</v>
      </c>
    </row>
    <row r="22" spans="1:9" ht="15.95" customHeight="1" x14ac:dyDescent="0.25">
      <c r="A22" s="11"/>
      <c r="B22" s="12" t="s">
        <v>71</v>
      </c>
    </row>
  </sheetData>
  <mergeCells count="6">
    <mergeCell ref="A15:I15"/>
    <mergeCell ref="A2:I2"/>
    <mergeCell ref="A14:I14"/>
    <mergeCell ref="A1:I1"/>
    <mergeCell ref="A17:I17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5" width="14" customWidth="1"/>
    <col min="6" max="6" width="20" customWidth="1"/>
    <col min="7" max="7" width="22" customWidth="1"/>
    <col min="8" max="8" width="14" customWidth="1"/>
    <col min="9" max="9" width="22" customWidth="1"/>
  </cols>
  <sheetData>
    <row r="1" spans="1:9" ht="33.950000000000003" customHeight="1" x14ac:dyDescent="0.25">
      <c r="A1" s="42" t="s">
        <v>175</v>
      </c>
      <c r="B1" s="33"/>
      <c r="C1" s="33"/>
      <c r="D1" s="33"/>
      <c r="E1" s="33"/>
      <c r="F1" s="33"/>
      <c r="G1" s="33"/>
      <c r="H1" s="33"/>
      <c r="I1" s="33"/>
    </row>
    <row r="2" spans="1:9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9" ht="38.1" customHeight="1" x14ac:dyDescent="0.25">
      <c r="A3" s="1" t="s">
        <v>38</v>
      </c>
      <c r="B3" s="1" t="s">
        <v>114</v>
      </c>
      <c r="C3" s="1" t="s">
        <v>176</v>
      </c>
      <c r="D3" s="1" t="s">
        <v>177</v>
      </c>
      <c r="E3" s="1" t="s">
        <v>80</v>
      </c>
      <c r="F3" s="1" t="s">
        <v>178</v>
      </c>
      <c r="G3" s="1" t="s">
        <v>179</v>
      </c>
      <c r="H3" s="1" t="s">
        <v>82</v>
      </c>
      <c r="I3" s="1" t="s">
        <v>51</v>
      </c>
    </row>
    <row r="4" spans="1:9" ht="20.100000000000001" customHeight="1" x14ac:dyDescent="0.25">
      <c r="A4" s="23">
        <v>2025</v>
      </c>
      <c r="B4" s="2" t="s">
        <v>180</v>
      </c>
      <c r="C4" s="2" t="s">
        <v>181</v>
      </c>
      <c r="D4" s="2">
        <v>0</v>
      </c>
      <c r="E4" s="2" t="s">
        <v>182</v>
      </c>
      <c r="F4" s="4">
        <v>0</v>
      </c>
      <c r="G4" s="4" t="s">
        <v>183</v>
      </c>
      <c r="H4" s="19">
        <v>0</v>
      </c>
      <c r="I4" s="2"/>
    </row>
    <row r="5" spans="1:9" ht="20.100000000000001" customHeight="1" x14ac:dyDescent="0.25">
      <c r="A5" s="23">
        <v>2025</v>
      </c>
      <c r="B5" s="2" t="s">
        <v>184</v>
      </c>
      <c r="C5" s="2" t="s">
        <v>185</v>
      </c>
      <c r="D5" s="2">
        <v>0</v>
      </c>
      <c r="E5" s="2" t="s">
        <v>186</v>
      </c>
      <c r="F5" s="4">
        <v>0</v>
      </c>
      <c r="G5" s="4" t="s">
        <v>187</v>
      </c>
      <c r="H5" s="19">
        <v>0</v>
      </c>
      <c r="I5" s="2"/>
    </row>
    <row r="6" spans="1:9" ht="20.100000000000001" customHeight="1" x14ac:dyDescent="0.25">
      <c r="A6" s="23">
        <v>2025</v>
      </c>
      <c r="B6" s="2" t="s">
        <v>188</v>
      </c>
      <c r="C6" s="2" t="s">
        <v>189</v>
      </c>
      <c r="D6" s="2">
        <v>0</v>
      </c>
      <c r="E6" s="2" t="s">
        <v>186</v>
      </c>
      <c r="F6" s="4">
        <v>0</v>
      </c>
      <c r="G6" s="4" t="s">
        <v>187</v>
      </c>
      <c r="H6" s="19">
        <v>0</v>
      </c>
      <c r="I6" s="2"/>
    </row>
    <row r="7" spans="1:9" ht="20.100000000000001" customHeight="1" x14ac:dyDescent="0.25">
      <c r="A7" s="23">
        <v>2025</v>
      </c>
      <c r="B7" s="2" t="s">
        <v>190</v>
      </c>
      <c r="C7" s="2" t="s">
        <v>191</v>
      </c>
      <c r="D7" s="2">
        <v>0</v>
      </c>
      <c r="E7" s="2" t="s">
        <v>186</v>
      </c>
      <c r="F7" s="4">
        <v>0</v>
      </c>
      <c r="G7" s="4" t="s">
        <v>187</v>
      </c>
      <c r="H7" s="19">
        <v>0</v>
      </c>
      <c r="I7" s="2"/>
    </row>
    <row r="8" spans="1:9" ht="20.100000000000001" customHeight="1" x14ac:dyDescent="0.25">
      <c r="A8" s="23">
        <v>2025</v>
      </c>
      <c r="B8" s="2" t="s">
        <v>192</v>
      </c>
      <c r="C8" s="2" t="s">
        <v>193</v>
      </c>
      <c r="D8" s="2">
        <v>0</v>
      </c>
      <c r="E8" s="2" t="s">
        <v>186</v>
      </c>
      <c r="F8" s="4">
        <v>0</v>
      </c>
      <c r="G8" s="4" t="s">
        <v>187</v>
      </c>
      <c r="H8" s="19">
        <v>0</v>
      </c>
      <c r="I8" s="2"/>
    </row>
    <row r="9" spans="1:9" ht="20.100000000000001" customHeight="1" x14ac:dyDescent="0.25">
      <c r="A9" s="2"/>
      <c r="B9" s="2"/>
      <c r="C9" s="2"/>
      <c r="D9" s="2"/>
      <c r="E9" s="2"/>
      <c r="F9" s="4"/>
      <c r="G9" s="4"/>
      <c r="H9" s="3"/>
      <c r="I9" s="2"/>
    </row>
    <row r="10" spans="1:9" ht="20.100000000000001" customHeight="1" x14ac:dyDescent="0.25">
      <c r="A10" s="2"/>
      <c r="B10" s="2"/>
      <c r="C10" s="2"/>
      <c r="D10" s="2"/>
      <c r="E10" s="2"/>
      <c r="F10" s="4"/>
      <c r="G10" s="4"/>
      <c r="H10" s="3"/>
      <c r="I10" s="2"/>
    </row>
    <row r="11" spans="1:9" ht="20.100000000000001" customHeight="1" x14ac:dyDescent="0.25">
      <c r="A11" s="2"/>
      <c r="B11" s="2"/>
      <c r="C11" s="2"/>
      <c r="D11" s="2"/>
      <c r="E11" s="2"/>
      <c r="F11" s="4"/>
      <c r="G11" s="4"/>
      <c r="H11" s="3"/>
      <c r="I11" s="2"/>
    </row>
    <row r="12" spans="1:9" ht="20.100000000000001" customHeight="1" x14ac:dyDescent="0.25">
      <c r="A12" s="2"/>
      <c r="B12" s="2"/>
      <c r="C12" s="2"/>
      <c r="D12" s="2"/>
      <c r="E12" s="2"/>
      <c r="F12" s="4"/>
      <c r="G12" s="4"/>
      <c r="H12" s="3"/>
      <c r="I12" s="2"/>
    </row>
    <row r="14" spans="1:9" ht="20.100000000000001" customHeight="1" x14ac:dyDescent="0.25">
      <c r="A14" s="39" t="s">
        <v>63</v>
      </c>
      <c r="B14" s="40"/>
      <c r="C14" s="40"/>
      <c r="D14" s="40"/>
      <c r="E14" s="40"/>
      <c r="F14" s="40"/>
      <c r="G14" s="40"/>
      <c r="H14" s="40"/>
      <c r="I14" s="41"/>
    </row>
    <row r="15" spans="1:9" ht="15" customHeight="1" x14ac:dyDescent="0.25">
      <c r="A15" s="37" t="s">
        <v>173</v>
      </c>
      <c r="B15" s="33"/>
      <c r="C15" s="33"/>
      <c r="D15" s="33"/>
      <c r="E15" s="33"/>
      <c r="F15" s="33"/>
      <c r="G15" s="33"/>
      <c r="H15" s="33"/>
      <c r="I15" s="33"/>
    </row>
    <row r="16" spans="1:9" ht="15" customHeight="1" x14ac:dyDescent="0.25">
      <c r="A16" s="37" t="s">
        <v>194</v>
      </c>
      <c r="B16" s="33"/>
      <c r="C16" s="33"/>
      <c r="D16" s="33"/>
      <c r="E16" s="33"/>
      <c r="F16" s="33"/>
      <c r="G16" s="33"/>
      <c r="H16" s="33"/>
      <c r="I16" s="33"/>
    </row>
    <row r="18" spans="1:2" ht="15.95" customHeight="1" x14ac:dyDescent="0.25">
      <c r="A18" s="5"/>
      <c r="B18" s="6" t="s">
        <v>68</v>
      </c>
    </row>
    <row r="19" spans="1:2" ht="15.95" customHeight="1" x14ac:dyDescent="0.25">
      <c r="A19" s="7"/>
      <c r="B19" s="8" t="s">
        <v>69</v>
      </c>
    </row>
    <row r="20" spans="1:2" ht="15.95" customHeight="1" x14ac:dyDescent="0.25">
      <c r="A20" s="9"/>
      <c r="B20" s="10" t="s">
        <v>70</v>
      </c>
    </row>
    <row r="21" spans="1:2" ht="15.95" customHeight="1" x14ac:dyDescent="0.25">
      <c r="A21" s="11"/>
      <c r="B21" s="12" t="s">
        <v>71</v>
      </c>
    </row>
  </sheetData>
  <mergeCells count="5">
    <mergeCell ref="A15:I15"/>
    <mergeCell ref="A2:I2"/>
    <mergeCell ref="A14:I14"/>
    <mergeCell ref="A1:I1"/>
    <mergeCell ref="A16:I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6" customWidth="1"/>
    <col min="5" max="5" width="12" customWidth="1"/>
    <col min="6" max="6" width="16" customWidth="1"/>
    <col min="7" max="7" width="20" customWidth="1"/>
    <col min="8" max="8" width="22" customWidth="1"/>
    <col min="9" max="9" width="14" customWidth="1"/>
  </cols>
  <sheetData>
    <row r="1" spans="1:9" ht="33.950000000000003" customHeight="1" x14ac:dyDescent="0.25">
      <c r="A1" s="42" t="s">
        <v>195</v>
      </c>
      <c r="B1" s="33"/>
      <c r="C1" s="33"/>
      <c r="D1" s="33"/>
      <c r="E1" s="33"/>
      <c r="F1" s="33"/>
      <c r="G1" s="33"/>
      <c r="H1" s="33"/>
      <c r="I1" s="33"/>
    </row>
    <row r="2" spans="1:9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9" ht="38.1" customHeight="1" x14ac:dyDescent="0.25">
      <c r="A3" s="1" t="s">
        <v>38</v>
      </c>
      <c r="B3" s="1" t="s">
        <v>114</v>
      </c>
      <c r="C3" s="1" t="s">
        <v>196</v>
      </c>
      <c r="D3" s="1" t="s">
        <v>197</v>
      </c>
      <c r="E3" s="1" t="s">
        <v>80</v>
      </c>
      <c r="F3" s="1" t="s">
        <v>198</v>
      </c>
      <c r="G3" s="1" t="s">
        <v>199</v>
      </c>
      <c r="H3" s="1" t="s">
        <v>179</v>
      </c>
      <c r="I3" s="1" t="s">
        <v>82</v>
      </c>
    </row>
    <row r="4" spans="1:9" ht="20.100000000000001" customHeight="1" x14ac:dyDescent="0.25">
      <c r="A4" s="23">
        <v>2025</v>
      </c>
      <c r="B4" s="2" t="s">
        <v>200</v>
      </c>
      <c r="C4" s="2" t="s">
        <v>201</v>
      </c>
      <c r="D4" s="2">
        <v>0</v>
      </c>
      <c r="E4" s="3" t="s">
        <v>186</v>
      </c>
      <c r="F4" s="2">
        <v>1</v>
      </c>
      <c r="G4" s="4">
        <v>0</v>
      </c>
      <c r="H4" s="4" t="s">
        <v>187</v>
      </c>
      <c r="I4" s="19">
        <v>0</v>
      </c>
    </row>
    <row r="5" spans="1:9" ht="20.100000000000001" customHeight="1" x14ac:dyDescent="0.25">
      <c r="A5" s="23">
        <v>2025</v>
      </c>
      <c r="B5" s="2" t="s">
        <v>202</v>
      </c>
      <c r="C5" s="2" t="s">
        <v>203</v>
      </c>
      <c r="D5" s="2">
        <v>0</v>
      </c>
      <c r="E5" s="3" t="s">
        <v>186</v>
      </c>
      <c r="F5" s="2">
        <v>1</v>
      </c>
      <c r="G5" s="4">
        <v>0</v>
      </c>
      <c r="H5" s="4" t="s">
        <v>187</v>
      </c>
      <c r="I5" s="19">
        <v>0</v>
      </c>
    </row>
    <row r="6" spans="1:9" ht="20.100000000000001" customHeight="1" x14ac:dyDescent="0.25">
      <c r="A6" s="23">
        <v>2025</v>
      </c>
      <c r="B6" s="2" t="s">
        <v>204</v>
      </c>
      <c r="C6" s="2" t="s">
        <v>205</v>
      </c>
      <c r="D6" s="2">
        <v>0</v>
      </c>
      <c r="E6" s="3" t="s">
        <v>186</v>
      </c>
      <c r="F6" s="2">
        <v>1</v>
      </c>
      <c r="G6" s="4">
        <v>0</v>
      </c>
      <c r="H6" s="4" t="s">
        <v>187</v>
      </c>
      <c r="I6" s="19">
        <v>0</v>
      </c>
    </row>
    <row r="7" spans="1:9" ht="20.100000000000001" customHeight="1" x14ac:dyDescent="0.25">
      <c r="A7" s="23">
        <v>2025</v>
      </c>
      <c r="B7" s="2" t="s">
        <v>206</v>
      </c>
      <c r="C7" s="2" t="s">
        <v>207</v>
      </c>
      <c r="D7" s="2">
        <v>0</v>
      </c>
      <c r="E7" s="3" t="s">
        <v>186</v>
      </c>
      <c r="F7" s="2">
        <v>1</v>
      </c>
      <c r="G7" s="4">
        <v>0</v>
      </c>
      <c r="H7" s="4" t="s">
        <v>187</v>
      </c>
      <c r="I7" s="19">
        <v>0</v>
      </c>
    </row>
    <row r="8" spans="1:9" ht="20.100000000000001" customHeight="1" x14ac:dyDescent="0.25">
      <c r="A8" s="2"/>
      <c r="B8" s="2"/>
      <c r="C8" s="2"/>
      <c r="D8" s="2"/>
      <c r="E8" s="3"/>
      <c r="F8" s="2"/>
      <c r="G8" s="4"/>
      <c r="H8" s="4"/>
      <c r="I8" s="3"/>
    </row>
    <row r="9" spans="1:9" ht="20.100000000000001" customHeight="1" x14ac:dyDescent="0.25">
      <c r="A9" s="2"/>
      <c r="B9" s="2"/>
      <c r="C9" s="2"/>
      <c r="D9" s="2"/>
      <c r="E9" s="3"/>
      <c r="F9" s="2"/>
      <c r="G9" s="4"/>
      <c r="H9" s="4"/>
      <c r="I9" s="3"/>
    </row>
    <row r="10" spans="1:9" ht="20.100000000000001" customHeight="1" x14ac:dyDescent="0.25">
      <c r="A10" s="2"/>
      <c r="B10" s="2"/>
      <c r="C10" s="2"/>
      <c r="D10" s="2"/>
      <c r="E10" s="3"/>
      <c r="F10" s="2"/>
      <c r="G10" s="4"/>
      <c r="H10" s="4"/>
      <c r="I10" s="3"/>
    </row>
    <row r="11" spans="1:9" ht="20.100000000000001" customHeight="1" x14ac:dyDescent="0.25">
      <c r="A11" s="2"/>
      <c r="B11" s="2"/>
      <c r="C11" s="2"/>
      <c r="D11" s="2"/>
      <c r="E11" s="3"/>
      <c r="F11" s="2"/>
      <c r="G11" s="4"/>
      <c r="H11" s="4"/>
      <c r="I11" s="3"/>
    </row>
    <row r="13" spans="1:9" ht="20.100000000000001" customHeight="1" x14ac:dyDescent="0.25">
      <c r="A13" s="39" t="s">
        <v>63</v>
      </c>
      <c r="B13" s="40"/>
      <c r="C13" s="40"/>
      <c r="D13" s="40"/>
      <c r="E13" s="40"/>
      <c r="F13" s="40"/>
      <c r="G13" s="40"/>
      <c r="H13" s="40"/>
      <c r="I13" s="41"/>
    </row>
    <row r="14" spans="1:9" ht="15" customHeight="1" x14ac:dyDescent="0.25">
      <c r="A14" s="37" t="s">
        <v>208</v>
      </c>
      <c r="B14" s="33"/>
      <c r="C14" s="33"/>
      <c r="D14" s="33"/>
      <c r="E14" s="33"/>
      <c r="F14" s="33"/>
      <c r="G14" s="33"/>
      <c r="H14" s="33"/>
      <c r="I14" s="33"/>
    </row>
    <row r="15" spans="1:9" ht="15" customHeight="1" x14ac:dyDescent="0.25">
      <c r="A15" s="37" t="s">
        <v>209</v>
      </c>
      <c r="B15" s="33"/>
      <c r="C15" s="33"/>
      <c r="D15" s="33"/>
      <c r="E15" s="33"/>
      <c r="F15" s="33"/>
      <c r="G15" s="33"/>
      <c r="H15" s="33"/>
      <c r="I15" s="33"/>
    </row>
    <row r="17" spans="1:2" ht="15.95" customHeight="1" x14ac:dyDescent="0.25">
      <c r="A17" s="5"/>
      <c r="B17" s="6" t="s">
        <v>68</v>
      </c>
    </row>
    <row r="18" spans="1:2" ht="15.95" customHeight="1" x14ac:dyDescent="0.25">
      <c r="A18" s="7"/>
      <c r="B18" s="8" t="s">
        <v>69</v>
      </c>
    </row>
    <row r="19" spans="1:2" ht="15.95" customHeight="1" x14ac:dyDescent="0.25">
      <c r="A19" s="9"/>
      <c r="B19" s="10" t="s">
        <v>70</v>
      </c>
    </row>
    <row r="20" spans="1:2" ht="15.95" customHeight="1" x14ac:dyDescent="0.25">
      <c r="A20" s="11"/>
      <c r="B20" s="12" t="s">
        <v>71</v>
      </c>
    </row>
  </sheetData>
  <mergeCells count="5">
    <mergeCell ref="A15:I15"/>
    <mergeCell ref="A2:I2"/>
    <mergeCell ref="A13:I13"/>
    <mergeCell ref="A14:I14"/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2" customWidth="1"/>
    <col min="4" max="4" width="14" customWidth="1"/>
    <col min="5" max="5" width="8" customWidth="1"/>
    <col min="6" max="6" width="18" customWidth="1"/>
    <col min="7" max="7" width="28" customWidth="1"/>
    <col min="8" max="8" width="14" customWidth="1"/>
    <col min="9" max="9" width="20" customWidth="1"/>
  </cols>
  <sheetData>
    <row r="1" spans="1:9" ht="33.950000000000003" customHeight="1" x14ac:dyDescent="0.25">
      <c r="A1" s="42" t="s">
        <v>210</v>
      </c>
      <c r="B1" s="33"/>
      <c r="C1" s="33"/>
      <c r="D1" s="33"/>
      <c r="E1" s="33"/>
      <c r="F1" s="33"/>
      <c r="G1" s="33"/>
      <c r="H1" s="33"/>
      <c r="I1" s="33"/>
    </row>
    <row r="2" spans="1:9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9" ht="38.1" customHeight="1" x14ac:dyDescent="0.25">
      <c r="A3" s="1" t="s">
        <v>38</v>
      </c>
      <c r="B3" s="1" t="s">
        <v>114</v>
      </c>
      <c r="C3" s="1" t="s">
        <v>211</v>
      </c>
      <c r="D3" s="1" t="s">
        <v>212</v>
      </c>
      <c r="E3" s="1" t="s">
        <v>80</v>
      </c>
      <c r="F3" s="1" t="s">
        <v>213</v>
      </c>
      <c r="G3" s="1" t="s">
        <v>179</v>
      </c>
      <c r="H3" s="1" t="s">
        <v>82</v>
      </c>
      <c r="I3" s="1" t="s">
        <v>51</v>
      </c>
    </row>
    <row r="4" spans="1:9" ht="20.100000000000001" customHeight="1" x14ac:dyDescent="0.25">
      <c r="A4" s="23">
        <v>2025</v>
      </c>
      <c r="B4" s="2" t="s">
        <v>214</v>
      </c>
      <c r="C4" s="2" t="s">
        <v>215</v>
      </c>
      <c r="D4" s="2">
        <v>0</v>
      </c>
      <c r="E4" s="3" t="s">
        <v>84</v>
      </c>
      <c r="F4" s="4">
        <v>0</v>
      </c>
      <c r="G4" s="4" t="s">
        <v>216</v>
      </c>
      <c r="H4" s="19">
        <v>0</v>
      </c>
      <c r="I4" s="2"/>
    </row>
    <row r="5" spans="1:9" ht="20.100000000000001" customHeight="1" x14ac:dyDescent="0.25">
      <c r="A5" s="23">
        <v>2025</v>
      </c>
      <c r="B5" s="2" t="s">
        <v>217</v>
      </c>
      <c r="C5" s="2" t="s">
        <v>218</v>
      </c>
      <c r="D5" s="2">
        <v>0</v>
      </c>
      <c r="E5" s="3" t="s">
        <v>84</v>
      </c>
      <c r="F5" s="4">
        <v>0</v>
      </c>
      <c r="G5" s="4" t="s">
        <v>216</v>
      </c>
      <c r="H5" s="19">
        <v>0</v>
      </c>
      <c r="I5" s="2"/>
    </row>
    <row r="6" spans="1:9" ht="20.100000000000001" customHeight="1" x14ac:dyDescent="0.25">
      <c r="A6" s="23">
        <v>2025</v>
      </c>
      <c r="B6" s="2" t="s">
        <v>219</v>
      </c>
      <c r="C6" s="2" t="s">
        <v>220</v>
      </c>
      <c r="D6" s="2">
        <v>0</v>
      </c>
      <c r="E6" s="3" t="s">
        <v>84</v>
      </c>
      <c r="F6" s="4">
        <v>0</v>
      </c>
      <c r="G6" s="4" t="s">
        <v>216</v>
      </c>
      <c r="H6" s="19">
        <v>0</v>
      </c>
      <c r="I6" s="2"/>
    </row>
    <row r="7" spans="1:9" ht="20.100000000000001" customHeight="1" x14ac:dyDescent="0.25">
      <c r="A7" s="23">
        <v>2025</v>
      </c>
      <c r="B7" s="2" t="s">
        <v>221</v>
      </c>
      <c r="C7" s="2" t="s">
        <v>222</v>
      </c>
      <c r="D7" s="2">
        <v>0</v>
      </c>
      <c r="E7" s="3" t="s">
        <v>84</v>
      </c>
      <c r="F7" s="4">
        <v>0</v>
      </c>
      <c r="G7" s="4" t="s">
        <v>216</v>
      </c>
      <c r="H7" s="19">
        <v>0</v>
      </c>
      <c r="I7" s="2"/>
    </row>
    <row r="8" spans="1:9" ht="20.100000000000001" customHeight="1" x14ac:dyDescent="0.25">
      <c r="A8" s="23">
        <v>2025</v>
      </c>
      <c r="B8" s="2" t="s">
        <v>223</v>
      </c>
      <c r="C8" s="2" t="s">
        <v>224</v>
      </c>
      <c r="D8" s="2">
        <v>0</v>
      </c>
      <c r="E8" s="3" t="s">
        <v>84</v>
      </c>
      <c r="F8" s="4">
        <v>0</v>
      </c>
      <c r="G8" s="4" t="s">
        <v>216</v>
      </c>
      <c r="H8" s="19">
        <v>0</v>
      </c>
      <c r="I8" s="2"/>
    </row>
    <row r="9" spans="1:9" ht="20.100000000000001" customHeight="1" x14ac:dyDescent="0.25">
      <c r="A9" s="2"/>
      <c r="B9" s="2"/>
      <c r="C9" s="2"/>
      <c r="D9" s="2"/>
      <c r="E9" s="3"/>
      <c r="F9" s="4"/>
      <c r="G9" s="4"/>
      <c r="H9" s="3"/>
      <c r="I9" s="2"/>
    </row>
    <row r="10" spans="1:9" ht="20.100000000000001" customHeight="1" x14ac:dyDescent="0.25">
      <c r="A10" s="2"/>
      <c r="B10" s="2"/>
      <c r="C10" s="2"/>
      <c r="D10" s="2"/>
      <c r="E10" s="3"/>
      <c r="F10" s="4"/>
      <c r="G10" s="4"/>
      <c r="H10" s="3"/>
      <c r="I10" s="2"/>
    </row>
    <row r="11" spans="1:9" ht="20.100000000000001" customHeight="1" x14ac:dyDescent="0.25">
      <c r="A11" s="2"/>
      <c r="B11" s="2"/>
      <c r="C11" s="2"/>
      <c r="D11" s="2"/>
      <c r="E11" s="3"/>
      <c r="F11" s="4"/>
      <c r="G11" s="4"/>
      <c r="H11" s="3"/>
      <c r="I11" s="2"/>
    </row>
    <row r="12" spans="1:9" ht="20.100000000000001" customHeight="1" x14ac:dyDescent="0.25">
      <c r="A12" s="2"/>
      <c r="B12" s="2"/>
      <c r="C12" s="2"/>
      <c r="D12" s="2"/>
      <c r="E12" s="3"/>
      <c r="F12" s="4"/>
      <c r="G12" s="4"/>
      <c r="H12" s="3"/>
      <c r="I12" s="2"/>
    </row>
    <row r="14" spans="1:9" ht="20.100000000000001" customHeight="1" x14ac:dyDescent="0.25">
      <c r="A14" s="39" t="s">
        <v>63</v>
      </c>
      <c r="B14" s="40"/>
      <c r="C14" s="40"/>
      <c r="D14" s="40"/>
      <c r="E14" s="40"/>
      <c r="F14" s="40"/>
      <c r="G14" s="40"/>
      <c r="H14" s="40"/>
      <c r="I14" s="41"/>
    </row>
    <row r="15" spans="1:9" ht="15" customHeight="1" x14ac:dyDescent="0.25">
      <c r="A15" s="37" t="s">
        <v>225</v>
      </c>
      <c r="B15" s="33"/>
      <c r="C15" s="33"/>
      <c r="D15" s="33"/>
      <c r="E15" s="33"/>
      <c r="F15" s="33"/>
      <c r="G15" s="33"/>
      <c r="H15" s="33"/>
      <c r="I15" s="33"/>
    </row>
    <row r="16" spans="1:9" ht="15" customHeight="1" x14ac:dyDescent="0.25">
      <c r="A16" s="37" t="s">
        <v>226</v>
      </c>
      <c r="B16" s="33"/>
      <c r="C16" s="33"/>
      <c r="D16" s="33"/>
      <c r="E16" s="33"/>
      <c r="F16" s="33"/>
      <c r="G16" s="33"/>
      <c r="H16" s="33"/>
      <c r="I16" s="33"/>
    </row>
    <row r="18" spans="1:2" ht="15.95" customHeight="1" x14ac:dyDescent="0.25">
      <c r="A18" s="5"/>
      <c r="B18" s="6" t="s">
        <v>68</v>
      </c>
    </row>
    <row r="19" spans="1:2" ht="15.95" customHeight="1" x14ac:dyDescent="0.25">
      <c r="A19" s="7"/>
      <c r="B19" s="8" t="s">
        <v>69</v>
      </c>
    </row>
    <row r="20" spans="1:2" ht="15.95" customHeight="1" x14ac:dyDescent="0.25">
      <c r="A20" s="9"/>
      <c r="B20" s="10" t="s">
        <v>70</v>
      </c>
    </row>
    <row r="21" spans="1:2" ht="15.95" customHeight="1" x14ac:dyDescent="0.25">
      <c r="A21" s="11"/>
      <c r="B21" s="12" t="s">
        <v>71</v>
      </c>
    </row>
  </sheetData>
  <mergeCells count="5">
    <mergeCell ref="A15:I15"/>
    <mergeCell ref="A2:I2"/>
    <mergeCell ref="A14:I14"/>
    <mergeCell ref="A1:I1"/>
    <mergeCell ref="A16:I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6" customWidth="1"/>
    <col min="5" max="5" width="12" customWidth="1"/>
    <col min="6" max="6" width="20" customWidth="1"/>
    <col min="7" max="7" width="22" customWidth="1"/>
    <col min="8" max="8" width="14" customWidth="1"/>
    <col min="9" max="9" width="22" customWidth="1"/>
  </cols>
  <sheetData>
    <row r="1" spans="1:9" ht="33.950000000000003" customHeight="1" x14ac:dyDescent="0.25">
      <c r="A1" s="42" t="s">
        <v>227</v>
      </c>
      <c r="B1" s="33"/>
      <c r="C1" s="33"/>
      <c r="D1" s="33"/>
      <c r="E1" s="33"/>
      <c r="F1" s="33"/>
      <c r="G1" s="33"/>
      <c r="H1" s="33"/>
      <c r="I1" s="33"/>
    </row>
    <row r="2" spans="1:9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9" ht="38.1" customHeight="1" x14ac:dyDescent="0.25">
      <c r="A3" s="1" t="s">
        <v>38</v>
      </c>
      <c r="B3" s="1" t="s">
        <v>114</v>
      </c>
      <c r="C3" s="1" t="s">
        <v>228</v>
      </c>
      <c r="D3" s="1" t="s">
        <v>197</v>
      </c>
      <c r="E3" s="1" t="s">
        <v>80</v>
      </c>
      <c r="F3" s="1" t="s">
        <v>199</v>
      </c>
      <c r="G3" s="1" t="s">
        <v>179</v>
      </c>
      <c r="H3" s="1" t="s">
        <v>82</v>
      </c>
      <c r="I3" s="1" t="s">
        <v>51</v>
      </c>
    </row>
    <row r="4" spans="1:9" ht="20.100000000000001" customHeight="1" x14ac:dyDescent="0.25">
      <c r="A4" s="23">
        <v>2025</v>
      </c>
      <c r="B4" s="2" t="s">
        <v>229</v>
      </c>
      <c r="C4" s="2" t="s">
        <v>230</v>
      </c>
      <c r="D4" s="2">
        <v>0</v>
      </c>
      <c r="E4" s="3" t="s">
        <v>186</v>
      </c>
      <c r="F4" s="4">
        <v>0</v>
      </c>
      <c r="G4" s="4" t="s">
        <v>187</v>
      </c>
      <c r="H4" s="19">
        <v>0</v>
      </c>
      <c r="I4" s="2"/>
    </row>
    <row r="5" spans="1:9" ht="20.100000000000001" customHeight="1" x14ac:dyDescent="0.25">
      <c r="A5" s="23">
        <v>2025</v>
      </c>
      <c r="B5" s="2" t="s">
        <v>231</v>
      </c>
      <c r="C5" s="2"/>
      <c r="D5" s="2">
        <v>0</v>
      </c>
      <c r="E5" s="3" t="s">
        <v>186</v>
      </c>
      <c r="F5" s="4">
        <v>0</v>
      </c>
      <c r="G5" s="4" t="s">
        <v>187</v>
      </c>
      <c r="H5" s="19">
        <v>0</v>
      </c>
      <c r="I5" s="2"/>
    </row>
    <row r="6" spans="1:9" ht="20.100000000000001" customHeight="1" x14ac:dyDescent="0.25">
      <c r="A6" s="2"/>
      <c r="B6" s="2"/>
      <c r="C6" s="2"/>
      <c r="D6" s="2"/>
      <c r="E6" s="3"/>
      <c r="F6" s="4"/>
      <c r="G6" s="4"/>
      <c r="H6" s="3"/>
      <c r="I6" s="2"/>
    </row>
    <row r="7" spans="1:9" ht="20.100000000000001" customHeight="1" x14ac:dyDescent="0.25">
      <c r="A7" s="2"/>
      <c r="B7" s="2"/>
      <c r="C7" s="2"/>
      <c r="D7" s="2"/>
      <c r="E7" s="3"/>
      <c r="F7" s="4"/>
      <c r="G7" s="4"/>
      <c r="H7" s="3"/>
      <c r="I7" s="2"/>
    </row>
    <row r="8" spans="1:9" ht="20.100000000000001" customHeight="1" x14ac:dyDescent="0.25">
      <c r="A8" s="2"/>
      <c r="B8" s="2"/>
      <c r="C8" s="2"/>
      <c r="D8" s="2"/>
      <c r="E8" s="3"/>
      <c r="F8" s="4"/>
      <c r="G8" s="4"/>
      <c r="H8" s="3"/>
      <c r="I8" s="2"/>
    </row>
    <row r="9" spans="1:9" ht="20.100000000000001" customHeight="1" x14ac:dyDescent="0.25">
      <c r="A9" s="2"/>
      <c r="B9" s="2"/>
      <c r="C9" s="2"/>
      <c r="D9" s="2"/>
      <c r="E9" s="3"/>
      <c r="F9" s="4"/>
      <c r="G9" s="4"/>
      <c r="H9" s="3"/>
      <c r="I9" s="2"/>
    </row>
    <row r="11" spans="1:9" ht="20.100000000000001" customHeight="1" x14ac:dyDescent="0.25">
      <c r="A11" s="39" t="s">
        <v>63</v>
      </c>
      <c r="B11" s="40"/>
      <c r="C11" s="40"/>
      <c r="D11" s="40"/>
      <c r="E11" s="40"/>
      <c r="F11" s="40"/>
      <c r="G11" s="40"/>
      <c r="H11" s="40"/>
      <c r="I11" s="41"/>
    </row>
    <row r="12" spans="1:9" ht="15" customHeight="1" x14ac:dyDescent="0.25">
      <c r="A12" s="37" t="s">
        <v>232</v>
      </c>
      <c r="B12" s="33"/>
      <c r="C12" s="33"/>
      <c r="D12" s="33"/>
      <c r="E12" s="33"/>
      <c r="F12" s="33"/>
      <c r="G12" s="33"/>
      <c r="H12" s="33"/>
      <c r="I12" s="33"/>
    </row>
    <row r="13" spans="1:9" ht="15" customHeight="1" x14ac:dyDescent="0.25">
      <c r="A13" s="37" t="s">
        <v>209</v>
      </c>
      <c r="B13" s="33"/>
      <c r="C13" s="33"/>
      <c r="D13" s="33"/>
      <c r="E13" s="33"/>
      <c r="F13" s="33"/>
      <c r="G13" s="33"/>
      <c r="H13" s="33"/>
      <c r="I13" s="33"/>
    </row>
    <row r="15" spans="1:9" ht="15.95" customHeight="1" x14ac:dyDescent="0.25">
      <c r="A15" s="5"/>
      <c r="B15" s="6" t="s">
        <v>68</v>
      </c>
    </row>
    <row r="16" spans="1:9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showGridLines="0" workbookViewId="0">
      <selection sqref="A1:I1"/>
    </sheetView>
  </sheetViews>
  <sheetFormatPr defaultRowHeight="15" x14ac:dyDescent="0.25"/>
  <cols>
    <col min="1" max="1" width="8" customWidth="1"/>
    <col min="2" max="2" width="10" customWidth="1"/>
    <col min="3" max="3" width="28" customWidth="1"/>
    <col min="4" max="4" width="16" customWidth="1"/>
    <col min="5" max="5" width="12" customWidth="1"/>
    <col min="6" max="6" width="20" customWidth="1"/>
    <col min="7" max="7" width="22" customWidth="1"/>
    <col min="8" max="8" width="14" customWidth="1"/>
    <col min="9" max="9" width="22" customWidth="1"/>
  </cols>
  <sheetData>
    <row r="1" spans="1:9" ht="33.950000000000003" customHeight="1" x14ac:dyDescent="0.25">
      <c r="A1" s="42" t="s">
        <v>233</v>
      </c>
      <c r="B1" s="33"/>
      <c r="C1" s="33"/>
      <c r="D1" s="33"/>
      <c r="E1" s="33"/>
      <c r="F1" s="33"/>
      <c r="G1" s="33"/>
      <c r="H1" s="33"/>
      <c r="I1" s="33"/>
    </row>
    <row r="2" spans="1:9" ht="15" customHeight="1" x14ac:dyDescent="0.25">
      <c r="A2" s="38" t="s">
        <v>37</v>
      </c>
      <c r="B2" s="33"/>
      <c r="C2" s="33"/>
      <c r="D2" s="33"/>
      <c r="E2" s="33"/>
      <c r="F2" s="33"/>
      <c r="G2" s="33"/>
      <c r="H2" s="33"/>
      <c r="I2" s="33"/>
    </row>
    <row r="3" spans="1:9" ht="38.1" customHeight="1" x14ac:dyDescent="0.25">
      <c r="A3" s="1" t="s">
        <v>38</v>
      </c>
      <c r="B3" s="1" t="s">
        <v>114</v>
      </c>
      <c r="C3" s="1" t="s">
        <v>234</v>
      </c>
      <c r="D3" s="1" t="s">
        <v>197</v>
      </c>
      <c r="E3" s="1" t="s">
        <v>80</v>
      </c>
      <c r="F3" s="1" t="s">
        <v>199</v>
      </c>
      <c r="G3" s="1" t="s">
        <v>179</v>
      </c>
      <c r="H3" s="1" t="s">
        <v>82</v>
      </c>
      <c r="I3" s="1" t="s">
        <v>51</v>
      </c>
    </row>
    <row r="4" spans="1:9" ht="20.100000000000001" customHeight="1" x14ac:dyDescent="0.25">
      <c r="A4" s="23">
        <v>2025</v>
      </c>
      <c r="B4" s="2" t="s">
        <v>235</v>
      </c>
      <c r="C4" s="2" t="s">
        <v>236</v>
      </c>
      <c r="D4" s="2">
        <v>0</v>
      </c>
      <c r="E4" s="3" t="s">
        <v>186</v>
      </c>
      <c r="F4" s="4">
        <v>0</v>
      </c>
      <c r="G4" s="4" t="s">
        <v>187</v>
      </c>
      <c r="H4" s="19">
        <v>0</v>
      </c>
      <c r="I4" s="2"/>
    </row>
    <row r="5" spans="1:9" ht="20.100000000000001" customHeight="1" x14ac:dyDescent="0.25">
      <c r="A5" s="23">
        <v>2025</v>
      </c>
      <c r="B5" s="2" t="s">
        <v>237</v>
      </c>
      <c r="C5" s="2" t="s">
        <v>238</v>
      </c>
      <c r="D5" s="2">
        <v>0</v>
      </c>
      <c r="E5" s="3" t="s">
        <v>186</v>
      </c>
      <c r="F5" s="4">
        <v>0</v>
      </c>
      <c r="G5" s="4" t="s">
        <v>187</v>
      </c>
      <c r="H5" s="19">
        <v>0</v>
      </c>
      <c r="I5" s="2"/>
    </row>
    <row r="6" spans="1:9" ht="20.100000000000001" customHeight="1" x14ac:dyDescent="0.25">
      <c r="A6" s="23">
        <v>2025</v>
      </c>
      <c r="B6" s="2" t="s">
        <v>239</v>
      </c>
      <c r="C6" s="2" t="s">
        <v>240</v>
      </c>
      <c r="D6" s="2">
        <v>0</v>
      </c>
      <c r="E6" s="3" t="s">
        <v>186</v>
      </c>
      <c r="F6" s="4">
        <v>0</v>
      </c>
      <c r="G6" s="4" t="s">
        <v>187</v>
      </c>
      <c r="H6" s="19">
        <v>0</v>
      </c>
      <c r="I6" s="2"/>
    </row>
    <row r="7" spans="1:9" ht="20.100000000000001" customHeight="1" x14ac:dyDescent="0.25">
      <c r="A7" s="23">
        <v>2025</v>
      </c>
      <c r="B7" s="2" t="s">
        <v>241</v>
      </c>
      <c r="C7" s="2" t="s">
        <v>242</v>
      </c>
      <c r="D7" s="2">
        <v>0</v>
      </c>
      <c r="E7" s="3" t="s">
        <v>186</v>
      </c>
      <c r="F7" s="4">
        <v>0</v>
      </c>
      <c r="G7" s="4" t="s">
        <v>187</v>
      </c>
      <c r="H7" s="19">
        <v>0</v>
      </c>
      <c r="I7" s="2"/>
    </row>
    <row r="8" spans="1:9" ht="20.100000000000001" customHeight="1" x14ac:dyDescent="0.25">
      <c r="A8" s="23">
        <v>2025</v>
      </c>
      <c r="B8" s="2" t="s">
        <v>243</v>
      </c>
      <c r="C8" s="2" t="s">
        <v>244</v>
      </c>
      <c r="D8" s="2">
        <v>0</v>
      </c>
      <c r="E8" s="3" t="s">
        <v>186</v>
      </c>
      <c r="F8" s="4">
        <v>0</v>
      </c>
      <c r="G8" s="4" t="s">
        <v>187</v>
      </c>
      <c r="H8" s="19">
        <v>0</v>
      </c>
      <c r="I8" s="2"/>
    </row>
    <row r="9" spans="1:9" ht="20.100000000000001" customHeight="1" x14ac:dyDescent="0.25">
      <c r="A9" s="2"/>
      <c r="B9" s="2"/>
      <c r="C9" s="2"/>
      <c r="D9" s="2"/>
      <c r="E9" s="3"/>
      <c r="F9" s="4"/>
      <c r="G9" s="4"/>
      <c r="H9" s="3"/>
      <c r="I9" s="2"/>
    </row>
    <row r="10" spans="1:9" ht="20.100000000000001" customHeight="1" x14ac:dyDescent="0.25">
      <c r="A10" s="2"/>
      <c r="B10" s="2"/>
      <c r="C10" s="2"/>
      <c r="D10" s="2"/>
      <c r="E10" s="3"/>
      <c r="F10" s="4"/>
      <c r="G10" s="4"/>
      <c r="H10" s="3"/>
      <c r="I10" s="2"/>
    </row>
    <row r="11" spans="1:9" ht="20.100000000000001" customHeight="1" x14ac:dyDescent="0.25">
      <c r="A11" s="2"/>
      <c r="B11" s="2"/>
      <c r="C11" s="2"/>
      <c r="D11" s="2"/>
      <c r="E11" s="3"/>
      <c r="F11" s="4"/>
      <c r="G11" s="4"/>
      <c r="H11" s="3"/>
      <c r="I11" s="2"/>
    </row>
    <row r="12" spans="1:9" ht="20.100000000000001" customHeight="1" x14ac:dyDescent="0.25">
      <c r="A12" s="2"/>
      <c r="B12" s="2"/>
      <c r="C12" s="2"/>
      <c r="D12" s="2"/>
      <c r="E12" s="3"/>
      <c r="F12" s="4"/>
      <c r="G12" s="4"/>
      <c r="H12" s="3"/>
      <c r="I12" s="2"/>
    </row>
    <row r="14" spans="1:9" ht="20.100000000000001" customHeight="1" x14ac:dyDescent="0.25">
      <c r="A14" s="39" t="s">
        <v>63</v>
      </c>
      <c r="B14" s="40"/>
      <c r="C14" s="40"/>
      <c r="D14" s="40"/>
      <c r="E14" s="40"/>
      <c r="F14" s="40"/>
      <c r="G14" s="40"/>
      <c r="H14" s="40"/>
      <c r="I14" s="41"/>
    </row>
    <row r="15" spans="1:9" ht="15" customHeight="1" x14ac:dyDescent="0.25">
      <c r="A15" s="37" t="s">
        <v>232</v>
      </c>
      <c r="B15" s="33"/>
      <c r="C15" s="33"/>
      <c r="D15" s="33"/>
      <c r="E15" s="33"/>
      <c r="F15" s="33"/>
      <c r="G15" s="33"/>
      <c r="H15" s="33"/>
      <c r="I15" s="33"/>
    </row>
    <row r="16" spans="1:9" ht="15" customHeight="1" x14ac:dyDescent="0.25">
      <c r="A16" s="37" t="s">
        <v>209</v>
      </c>
      <c r="B16" s="33"/>
      <c r="C16" s="33"/>
      <c r="D16" s="33"/>
      <c r="E16" s="33"/>
      <c r="F16" s="33"/>
      <c r="G16" s="33"/>
      <c r="H16" s="33"/>
      <c r="I16" s="33"/>
    </row>
    <row r="18" spans="1:2" ht="15.95" customHeight="1" x14ac:dyDescent="0.25">
      <c r="A18" s="5"/>
      <c r="B18" s="6" t="s">
        <v>68</v>
      </c>
    </row>
    <row r="19" spans="1:2" ht="15.95" customHeight="1" x14ac:dyDescent="0.25">
      <c r="A19" s="7"/>
      <c r="B19" s="8" t="s">
        <v>69</v>
      </c>
    </row>
    <row r="20" spans="1:2" ht="15.95" customHeight="1" x14ac:dyDescent="0.25">
      <c r="A20" s="9"/>
      <c r="B20" s="10" t="s">
        <v>70</v>
      </c>
    </row>
    <row r="21" spans="1:2" ht="15.95" customHeight="1" x14ac:dyDescent="0.25">
      <c r="A21" s="11"/>
      <c r="B21" s="12" t="s">
        <v>71</v>
      </c>
    </row>
  </sheetData>
  <mergeCells count="5">
    <mergeCell ref="A15:I15"/>
    <mergeCell ref="A2:I2"/>
    <mergeCell ref="A14:I14"/>
    <mergeCell ref="A1:I1"/>
    <mergeCell ref="A16:I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8"/>
  <sheetViews>
    <sheetView showGridLines="0" workbookViewId="0">
      <selection activeCell="F16" sqref="F16"/>
    </sheetView>
  </sheetViews>
  <sheetFormatPr defaultRowHeight="15" x14ac:dyDescent="0.25"/>
  <cols>
    <col min="1" max="1" width="8" customWidth="1"/>
    <col min="2" max="2" width="18" customWidth="1"/>
    <col min="3" max="4" width="14" customWidth="1"/>
    <col min="5" max="5" width="16" customWidth="1"/>
    <col min="6" max="6" width="14" customWidth="1"/>
    <col min="7" max="7" width="28" customWidth="1"/>
  </cols>
  <sheetData>
    <row r="1" spans="1:8" ht="33.950000000000003" customHeight="1" x14ac:dyDescent="0.25">
      <c r="A1" s="42" t="s">
        <v>245</v>
      </c>
      <c r="B1" s="33"/>
      <c r="C1" s="33"/>
      <c r="D1" s="33"/>
      <c r="E1" s="33"/>
      <c r="F1" s="33"/>
      <c r="G1" s="33"/>
    </row>
    <row r="2" spans="1:8" ht="15" customHeight="1" x14ac:dyDescent="0.25">
      <c r="A2" s="38" t="s">
        <v>37</v>
      </c>
      <c r="B2" s="33"/>
      <c r="C2" s="33"/>
      <c r="D2" s="33"/>
      <c r="E2" s="33"/>
      <c r="F2" s="33"/>
      <c r="G2" s="33"/>
    </row>
    <row r="3" spans="1:8" ht="38.1" customHeight="1" x14ac:dyDescent="0.25">
      <c r="A3" s="1" t="s">
        <v>38</v>
      </c>
      <c r="B3" s="30" t="s">
        <v>103</v>
      </c>
      <c r="C3" s="30" t="s">
        <v>104</v>
      </c>
      <c r="D3" s="1" t="s">
        <v>246</v>
      </c>
      <c r="E3" s="1" t="s">
        <v>247</v>
      </c>
      <c r="F3" s="1" t="s">
        <v>248</v>
      </c>
      <c r="G3" s="1" t="s">
        <v>82</v>
      </c>
      <c r="H3" s="1" t="s">
        <v>51</v>
      </c>
    </row>
    <row r="4" spans="1:8" ht="20.100000000000001" customHeight="1" x14ac:dyDescent="0.25">
      <c r="A4" s="2">
        <v>2025</v>
      </c>
      <c r="B4" s="2">
        <v>1416240</v>
      </c>
      <c r="C4" s="31" t="s">
        <v>107</v>
      </c>
      <c r="D4" s="4">
        <v>0.434</v>
      </c>
      <c r="E4" s="4">
        <v>0.47799999999999998</v>
      </c>
      <c r="F4" s="3" t="e">
        <f>D4-C4</f>
        <v>#VALUE!</v>
      </c>
      <c r="G4" s="19">
        <v>62.314599999999999</v>
      </c>
      <c r="H4" s="2" t="s">
        <v>249</v>
      </c>
    </row>
    <row r="5" spans="1:8" ht="20.100000000000001" customHeight="1" x14ac:dyDescent="0.25">
      <c r="A5" s="2">
        <v>2024</v>
      </c>
      <c r="B5" s="2">
        <v>1027730</v>
      </c>
      <c r="C5" s="31" t="s">
        <v>107</v>
      </c>
      <c r="D5" s="4">
        <v>0.442</v>
      </c>
      <c r="E5" s="4">
        <v>0.47799999999999998</v>
      </c>
      <c r="F5" s="3" t="e">
        <f>D5-C5</f>
        <v>#VALUE!</v>
      </c>
      <c r="G5" s="19">
        <v>36.9983</v>
      </c>
      <c r="H5" s="2" t="s">
        <v>249</v>
      </c>
    </row>
    <row r="6" spans="1:8" ht="20.100000000000001" customHeight="1" x14ac:dyDescent="0.25">
      <c r="A6" s="2"/>
      <c r="B6" s="2"/>
      <c r="D6" s="4"/>
      <c r="E6" s="4"/>
      <c r="F6" s="3"/>
      <c r="G6" s="3"/>
      <c r="H6" s="2"/>
    </row>
    <row r="7" spans="1:8" ht="20.100000000000001" customHeight="1" x14ac:dyDescent="0.25">
      <c r="A7" s="2"/>
      <c r="B7" s="2"/>
      <c r="D7" s="4"/>
      <c r="E7" s="4"/>
      <c r="F7" s="3"/>
      <c r="G7" s="3"/>
      <c r="H7" s="2"/>
    </row>
    <row r="8" spans="1:8" ht="20.100000000000001" customHeight="1" x14ac:dyDescent="0.25">
      <c r="A8" s="2"/>
      <c r="B8" s="2"/>
      <c r="D8" s="4"/>
      <c r="E8" s="4"/>
      <c r="F8" s="3"/>
      <c r="G8" s="3"/>
      <c r="H8" s="2"/>
    </row>
    <row r="9" spans="1:8" ht="20.100000000000001" customHeight="1" x14ac:dyDescent="0.25">
      <c r="A9" s="2"/>
      <c r="B9" s="2"/>
      <c r="D9" s="4"/>
      <c r="E9" s="4"/>
      <c r="F9" s="3"/>
      <c r="G9" s="3"/>
      <c r="H9" s="2"/>
    </row>
    <row r="11" spans="1:8" ht="20.100000000000001" customHeight="1" x14ac:dyDescent="0.25">
      <c r="A11" s="39" t="s">
        <v>63</v>
      </c>
      <c r="B11" s="40"/>
      <c r="C11" s="33"/>
      <c r="D11" s="40"/>
      <c r="E11" s="40"/>
      <c r="F11" s="40"/>
      <c r="G11" s="40"/>
      <c r="H11" s="29"/>
    </row>
    <row r="12" spans="1:8" ht="15" customHeight="1" x14ac:dyDescent="0.25">
      <c r="A12" s="37" t="s">
        <v>250</v>
      </c>
      <c r="B12" s="33"/>
      <c r="C12" s="33"/>
      <c r="D12" s="33"/>
      <c r="E12" s="33"/>
      <c r="F12" s="33"/>
      <c r="G12" s="33"/>
    </row>
    <row r="13" spans="1:8" ht="15" customHeight="1" x14ac:dyDescent="0.25">
      <c r="A13" s="37" t="s">
        <v>251</v>
      </c>
      <c r="B13" s="33"/>
      <c r="C13" s="33"/>
      <c r="D13" s="33"/>
      <c r="E13" s="33"/>
      <c r="F13" s="33"/>
      <c r="G13" s="33"/>
    </row>
    <row r="15" spans="1:8" ht="15.95" customHeight="1" x14ac:dyDescent="0.25">
      <c r="A15" s="5"/>
      <c r="B15" s="6" t="s">
        <v>68</v>
      </c>
    </row>
    <row r="16" spans="1:8" ht="15.95" customHeight="1" x14ac:dyDescent="0.25">
      <c r="A16" s="7"/>
      <c r="B16" s="8" t="s">
        <v>69</v>
      </c>
    </row>
    <row r="17" spans="1:2" ht="15.95" customHeight="1" x14ac:dyDescent="0.25">
      <c r="A17" s="9"/>
      <c r="B17" s="10" t="s">
        <v>70</v>
      </c>
    </row>
    <row r="18" spans="1:2" ht="15.95" customHeight="1" x14ac:dyDescent="0.25">
      <c r="A18" s="11"/>
      <c r="B18" s="12" t="s">
        <v>71</v>
      </c>
    </row>
  </sheetData>
  <mergeCells count="5">
    <mergeCell ref="A13:G13"/>
    <mergeCell ref="A1:G1"/>
    <mergeCell ref="A12:G12"/>
    <mergeCell ref="A2:G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showGridLines="0" workbookViewId="0">
      <selection sqref="A1:E1"/>
    </sheetView>
  </sheetViews>
  <sheetFormatPr defaultRowHeight="15" x14ac:dyDescent="0.25"/>
  <cols>
    <col min="1" max="1" width="10" customWidth="1"/>
    <col min="2" max="2" width="32" customWidth="1"/>
    <col min="3" max="3" width="18" customWidth="1"/>
    <col min="4" max="4" width="24" customWidth="1"/>
    <col min="5" max="5" width="30" customWidth="1"/>
  </cols>
  <sheetData>
    <row r="1" spans="1:5" ht="33.950000000000003" customHeight="1" x14ac:dyDescent="0.25">
      <c r="A1" s="42" t="s">
        <v>252</v>
      </c>
      <c r="B1" s="33"/>
      <c r="C1" s="33"/>
      <c r="D1" s="33"/>
      <c r="E1" s="33"/>
    </row>
    <row r="2" spans="1:5" ht="15" customHeight="1" x14ac:dyDescent="0.25">
      <c r="A2" s="38" t="s">
        <v>253</v>
      </c>
      <c r="B2" s="33"/>
      <c r="C2" s="33"/>
      <c r="D2" s="33"/>
      <c r="E2" s="33"/>
    </row>
    <row r="3" spans="1:5" ht="32.1" customHeight="1" x14ac:dyDescent="0.25">
      <c r="A3" s="1" t="s">
        <v>38</v>
      </c>
      <c r="B3" s="1" t="s">
        <v>254</v>
      </c>
      <c r="C3" s="1" t="s">
        <v>255</v>
      </c>
      <c r="D3" s="1" t="s">
        <v>256</v>
      </c>
      <c r="E3" s="1" t="s">
        <v>51</v>
      </c>
    </row>
    <row r="4" spans="1:5" ht="20.100000000000001" customHeight="1" x14ac:dyDescent="0.25">
      <c r="A4" s="2">
        <v>2024</v>
      </c>
      <c r="B4" s="2" t="s">
        <v>257</v>
      </c>
      <c r="C4" s="2">
        <v>250</v>
      </c>
      <c r="D4" s="2" t="s">
        <v>258</v>
      </c>
      <c r="E4" s="2" t="s">
        <v>259</v>
      </c>
    </row>
    <row r="5" spans="1:5" ht="20.100000000000001" customHeight="1" x14ac:dyDescent="0.25">
      <c r="A5" s="2">
        <v>2024</v>
      </c>
      <c r="B5" s="2" t="s">
        <v>260</v>
      </c>
      <c r="C5" s="2">
        <v>380</v>
      </c>
      <c r="D5" s="2" t="s">
        <v>261</v>
      </c>
      <c r="E5" s="2" t="s">
        <v>262</v>
      </c>
    </row>
    <row r="6" spans="1:5" ht="20.100000000000001" customHeight="1" x14ac:dyDescent="0.25">
      <c r="A6" s="2">
        <v>2024</v>
      </c>
      <c r="B6" s="2" t="s">
        <v>263</v>
      </c>
      <c r="C6" s="2">
        <v>90</v>
      </c>
      <c r="D6" s="2" t="s">
        <v>264</v>
      </c>
      <c r="E6" s="2" t="s">
        <v>265</v>
      </c>
    </row>
    <row r="7" spans="1:5" ht="20.100000000000001" customHeight="1" x14ac:dyDescent="0.25">
      <c r="A7" s="2">
        <v>2024</v>
      </c>
      <c r="B7" s="2" t="s">
        <v>266</v>
      </c>
      <c r="C7" s="2">
        <v>54</v>
      </c>
      <c r="D7" s="2" t="s">
        <v>258</v>
      </c>
      <c r="E7" s="2" t="s">
        <v>267</v>
      </c>
    </row>
    <row r="8" spans="1:5" ht="20.100000000000001" customHeight="1" x14ac:dyDescent="0.25">
      <c r="A8" s="2"/>
      <c r="B8" s="2"/>
      <c r="C8" s="2"/>
      <c r="D8" s="2"/>
      <c r="E8" s="2"/>
    </row>
    <row r="9" spans="1:5" ht="20.100000000000001" customHeight="1" x14ac:dyDescent="0.25">
      <c r="A9" s="2"/>
      <c r="B9" s="2"/>
      <c r="C9" s="2"/>
      <c r="D9" s="2"/>
      <c r="E9" s="2"/>
    </row>
    <row r="10" spans="1:5" ht="20.100000000000001" customHeight="1" x14ac:dyDescent="0.25">
      <c r="A10" s="2"/>
      <c r="B10" s="2"/>
      <c r="C10" s="2"/>
      <c r="D10" s="2"/>
      <c r="E10" s="2"/>
    </row>
    <row r="11" spans="1:5" ht="20.100000000000001" customHeight="1" x14ac:dyDescent="0.25">
      <c r="A11" s="2"/>
      <c r="B11" s="2"/>
      <c r="C11" s="2"/>
      <c r="D11" s="2"/>
      <c r="E11" s="2"/>
    </row>
    <row r="12" spans="1:5" ht="20.100000000000001" customHeight="1" x14ac:dyDescent="0.25">
      <c r="A12" s="2"/>
      <c r="B12" s="2"/>
      <c r="C12" s="2"/>
      <c r="D12" s="2"/>
      <c r="E12" s="2"/>
    </row>
    <row r="13" spans="1:5" ht="20.100000000000001" customHeight="1" x14ac:dyDescent="0.25">
      <c r="A13" s="2"/>
      <c r="B13" s="2"/>
      <c r="C13" s="2"/>
      <c r="D13" s="2"/>
      <c r="E13" s="2"/>
    </row>
    <row r="14" spans="1:5" ht="20.100000000000001" customHeight="1" x14ac:dyDescent="0.25">
      <c r="A14" s="2"/>
      <c r="B14" s="2"/>
      <c r="C14" s="2"/>
      <c r="D14" s="2"/>
      <c r="E14" s="2"/>
    </row>
    <row r="15" spans="1:5" ht="20.100000000000001" customHeight="1" x14ac:dyDescent="0.25">
      <c r="A15" s="2"/>
      <c r="B15" s="2"/>
      <c r="C15" s="2"/>
      <c r="D15" s="2"/>
      <c r="E15" s="2"/>
    </row>
    <row r="17" spans="1:5" x14ac:dyDescent="0.25">
      <c r="A17" s="39" t="s">
        <v>268</v>
      </c>
      <c r="B17" s="40"/>
      <c r="C17" s="40"/>
      <c r="D17" s="40"/>
      <c r="E17" s="41"/>
    </row>
    <row r="18" spans="1:5" ht="15" customHeight="1" x14ac:dyDescent="0.25">
      <c r="A18" s="37" t="s">
        <v>269</v>
      </c>
      <c r="B18" s="33"/>
      <c r="C18" s="33"/>
      <c r="D18" s="33"/>
      <c r="E18" s="33"/>
    </row>
    <row r="19" spans="1:5" ht="15" customHeight="1" x14ac:dyDescent="0.25">
      <c r="A19" s="37" t="s">
        <v>270</v>
      </c>
      <c r="B19" s="33"/>
      <c r="C19" s="33"/>
      <c r="D19" s="33"/>
      <c r="E19" s="33"/>
    </row>
    <row r="20" spans="1:5" ht="15" customHeight="1" x14ac:dyDescent="0.25">
      <c r="A20" s="37" t="s">
        <v>271</v>
      </c>
      <c r="B20" s="33"/>
      <c r="C20" s="33"/>
      <c r="D20" s="33"/>
      <c r="E20" s="33"/>
    </row>
    <row r="21" spans="1:5" ht="15" customHeight="1" x14ac:dyDescent="0.25">
      <c r="A21" s="37" t="s">
        <v>272</v>
      </c>
      <c r="B21" s="33"/>
      <c r="C21" s="33"/>
      <c r="D21" s="33"/>
      <c r="E21" s="33"/>
    </row>
    <row r="23" spans="1:5" ht="15.95" customHeight="1" x14ac:dyDescent="0.25">
      <c r="A23" s="5"/>
      <c r="B23" s="6" t="s">
        <v>68</v>
      </c>
    </row>
    <row r="24" spans="1:5" ht="15.95" customHeight="1" x14ac:dyDescent="0.25">
      <c r="A24" s="7"/>
      <c r="B24" s="8" t="s">
        <v>69</v>
      </c>
    </row>
    <row r="25" spans="1:5" ht="15.95" customHeight="1" x14ac:dyDescent="0.25">
      <c r="A25" s="9"/>
      <c r="B25" s="10" t="s">
        <v>70</v>
      </c>
    </row>
    <row r="26" spans="1:5" ht="15.95" customHeight="1" x14ac:dyDescent="0.25">
      <c r="A26" s="11"/>
      <c r="B26" s="12" t="s">
        <v>71</v>
      </c>
    </row>
    <row r="27" spans="1:5" ht="20.100000000000001" customHeight="1" x14ac:dyDescent="0.25">
      <c r="A27" s="23">
        <v>2025</v>
      </c>
      <c r="B27" s="23" t="s">
        <v>257</v>
      </c>
      <c r="C27" s="23">
        <v>250</v>
      </c>
      <c r="D27" s="23" t="s">
        <v>258</v>
      </c>
      <c r="E27" s="23" t="s">
        <v>259</v>
      </c>
    </row>
    <row r="28" spans="1:5" ht="20.100000000000001" customHeight="1" x14ac:dyDescent="0.25">
      <c r="A28" s="23">
        <v>2025</v>
      </c>
      <c r="B28" s="23" t="s">
        <v>260</v>
      </c>
      <c r="C28" s="23">
        <v>380</v>
      </c>
      <c r="D28" s="23" t="s">
        <v>261</v>
      </c>
      <c r="E28" s="23" t="s">
        <v>262</v>
      </c>
    </row>
    <row r="29" spans="1:5" ht="20.100000000000001" customHeight="1" x14ac:dyDescent="0.25">
      <c r="A29" s="23">
        <v>2025</v>
      </c>
      <c r="B29" s="23" t="s">
        <v>263</v>
      </c>
      <c r="C29" s="23">
        <v>90</v>
      </c>
      <c r="D29" s="23" t="s">
        <v>264</v>
      </c>
      <c r="E29" s="23" t="s">
        <v>265</v>
      </c>
    </row>
    <row r="30" spans="1:5" ht="20.100000000000001" customHeight="1" x14ac:dyDescent="0.25">
      <c r="A30" s="23">
        <v>2025</v>
      </c>
      <c r="B30" s="23" t="s">
        <v>266</v>
      </c>
      <c r="C30" s="23">
        <v>54</v>
      </c>
      <c r="D30" s="23" t="s">
        <v>258</v>
      </c>
      <c r="E30" s="23" t="s">
        <v>267</v>
      </c>
    </row>
  </sheetData>
  <mergeCells count="7">
    <mergeCell ref="A21:E21"/>
    <mergeCell ref="A20:E20"/>
    <mergeCell ref="A2:E2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4"/>
  <sheetViews>
    <sheetView showGridLines="0" workbookViewId="0">
      <selection activeCell="C7" sqref="C7"/>
    </sheetView>
  </sheetViews>
  <sheetFormatPr defaultRowHeight="15" x14ac:dyDescent="0.25"/>
  <cols>
    <col min="1" max="1" width="22" customWidth="1"/>
    <col min="2" max="2" width="38" customWidth="1"/>
    <col min="3" max="4" width="18" customWidth="1"/>
    <col min="5" max="5" width="14" customWidth="1"/>
    <col min="6" max="6" width="20" customWidth="1"/>
  </cols>
  <sheetData>
    <row r="1" spans="1:6" ht="33.950000000000003" customHeight="1" x14ac:dyDescent="0.25">
      <c r="A1" s="42" t="s">
        <v>273</v>
      </c>
      <c r="B1" s="33"/>
      <c r="C1" s="33"/>
      <c r="D1" s="33"/>
      <c r="E1" s="33"/>
      <c r="F1" s="33"/>
    </row>
    <row r="2" spans="1:6" ht="15" customHeight="1" x14ac:dyDescent="0.25">
      <c r="A2" s="38" t="s">
        <v>274</v>
      </c>
      <c r="B2" s="33"/>
      <c r="C2" s="33"/>
      <c r="D2" s="33"/>
      <c r="E2" s="33"/>
      <c r="F2" s="33"/>
    </row>
    <row r="3" spans="1:6" ht="32.1" customHeight="1" x14ac:dyDescent="0.25">
      <c r="A3" s="1" t="s">
        <v>275</v>
      </c>
      <c r="B3" s="1" t="s">
        <v>276</v>
      </c>
      <c r="C3" s="1" t="s">
        <v>277</v>
      </c>
      <c r="D3" s="1" t="s">
        <v>278</v>
      </c>
      <c r="E3" s="1" t="s">
        <v>279</v>
      </c>
      <c r="F3" s="1" t="s">
        <v>280</v>
      </c>
    </row>
    <row r="4" spans="1:6" ht="20.100000000000001" customHeight="1" x14ac:dyDescent="0.25">
      <c r="A4" s="13" t="s">
        <v>281</v>
      </c>
      <c r="B4" s="13" t="s">
        <v>282</v>
      </c>
      <c r="C4" s="13"/>
      <c r="D4" s="13"/>
      <c r="E4" s="13"/>
      <c r="F4" s="13"/>
    </row>
    <row r="5" spans="1:6" ht="20.100000000000001" customHeight="1" x14ac:dyDescent="0.25">
      <c r="A5" s="3" t="s">
        <v>283</v>
      </c>
      <c r="B5" s="3" t="s">
        <v>284</v>
      </c>
      <c r="C5" s="19">
        <v>0</v>
      </c>
      <c r="D5" s="19">
        <v>27.622699999999998</v>
      </c>
      <c r="E5" s="3"/>
      <c r="F5" s="3" t="s">
        <v>285</v>
      </c>
    </row>
    <row r="6" spans="1:6" ht="20.100000000000001" customHeight="1" x14ac:dyDescent="0.25">
      <c r="A6" s="3" t="s">
        <v>286</v>
      </c>
      <c r="B6" s="3" t="s">
        <v>287</v>
      </c>
      <c r="C6" s="19">
        <v>0</v>
      </c>
      <c r="D6" s="19">
        <v>492.34789999999998</v>
      </c>
      <c r="E6" s="3"/>
      <c r="F6" s="3" t="s">
        <v>288</v>
      </c>
    </row>
    <row r="7" spans="1:6" ht="20.100000000000001" customHeight="1" x14ac:dyDescent="0.25">
      <c r="A7" s="3" t="s">
        <v>289</v>
      </c>
      <c r="B7" s="3" t="s">
        <v>290</v>
      </c>
      <c r="C7" s="19">
        <v>0</v>
      </c>
      <c r="D7" s="19">
        <v>627.89089999999999</v>
      </c>
      <c r="E7" s="3"/>
      <c r="F7" s="3" t="s">
        <v>291</v>
      </c>
    </row>
    <row r="8" spans="1:6" ht="20.100000000000001" customHeight="1" x14ac:dyDescent="0.25">
      <c r="A8" s="14" t="s">
        <v>292</v>
      </c>
      <c r="B8" s="14" t="s">
        <v>293</v>
      </c>
      <c r="C8" s="20">
        <v>0</v>
      </c>
      <c r="D8" s="20">
        <v>1147.8599999999999</v>
      </c>
      <c r="E8" s="14"/>
      <c r="F8" s="14"/>
    </row>
    <row r="9" spans="1:6" ht="20.100000000000001" customHeight="1" x14ac:dyDescent="0.25">
      <c r="A9" s="15"/>
      <c r="B9" s="15"/>
      <c r="C9" s="15"/>
      <c r="D9" s="15"/>
      <c r="E9" s="15"/>
      <c r="F9" s="15"/>
    </row>
    <row r="10" spans="1:6" ht="20.100000000000001" customHeight="1" x14ac:dyDescent="0.25">
      <c r="A10" s="13" t="s">
        <v>294</v>
      </c>
      <c r="B10" s="13" t="s">
        <v>295</v>
      </c>
      <c r="C10" s="13"/>
      <c r="D10" s="13"/>
      <c r="E10" s="13"/>
      <c r="F10" s="13"/>
    </row>
    <row r="11" spans="1:6" ht="20.100000000000001" customHeight="1" x14ac:dyDescent="0.25">
      <c r="A11" s="3" t="s">
        <v>296</v>
      </c>
      <c r="B11" s="3" t="s">
        <v>297</v>
      </c>
      <c r="C11" s="19">
        <v>0</v>
      </c>
      <c r="D11" s="19">
        <v>664.21659999999997</v>
      </c>
      <c r="E11" s="3"/>
      <c r="F11" s="3" t="s">
        <v>298</v>
      </c>
    </row>
    <row r="12" spans="1:6" ht="20.100000000000001" customHeight="1" x14ac:dyDescent="0.25">
      <c r="A12" s="14" t="s">
        <v>299</v>
      </c>
      <c r="B12" s="14" t="s">
        <v>300</v>
      </c>
      <c r="C12" s="20">
        <v>0</v>
      </c>
      <c r="D12" s="20">
        <v>664.22</v>
      </c>
      <c r="E12" s="14"/>
      <c r="F12" s="14"/>
    </row>
    <row r="13" spans="1:6" ht="20.100000000000001" customHeight="1" x14ac:dyDescent="0.25">
      <c r="A13" s="15"/>
      <c r="B13" s="15"/>
      <c r="C13" s="15"/>
      <c r="D13" s="15"/>
      <c r="E13" s="15"/>
      <c r="F13" s="15"/>
    </row>
    <row r="14" spans="1:6" ht="20.100000000000001" customHeight="1" x14ac:dyDescent="0.25">
      <c r="A14" s="13" t="s">
        <v>301</v>
      </c>
      <c r="B14" s="13" t="s">
        <v>302</v>
      </c>
      <c r="C14" s="13"/>
      <c r="D14" s="13"/>
      <c r="E14" s="13"/>
      <c r="F14" s="13"/>
    </row>
    <row r="15" spans="1:6" ht="20.100000000000001" customHeight="1" x14ac:dyDescent="0.25">
      <c r="A15" s="3" t="s">
        <v>303</v>
      </c>
      <c r="B15" s="3" t="s">
        <v>120</v>
      </c>
      <c r="C15" s="19">
        <v>0</v>
      </c>
      <c r="D15" s="19">
        <v>0</v>
      </c>
      <c r="E15" s="3"/>
      <c r="F15" s="3" t="s">
        <v>304</v>
      </c>
    </row>
    <row r="16" spans="1:6" ht="20.100000000000001" customHeight="1" x14ac:dyDescent="0.25">
      <c r="A16" s="3" t="s">
        <v>305</v>
      </c>
      <c r="B16" s="3" t="s">
        <v>131</v>
      </c>
      <c r="C16" s="19">
        <v>0</v>
      </c>
      <c r="D16" s="19">
        <v>0</v>
      </c>
      <c r="E16" s="3"/>
      <c r="F16" s="3" t="s">
        <v>306</v>
      </c>
    </row>
    <row r="17" spans="1:6" ht="20.100000000000001" customHeight="1" x14ac:dyDescent="0.25">
      <c r="A17" s="3" t="s">
        <v>307</v>
      </c>
      <c r="B17" s="3" t="s">
        <v>308</v>
      </c>
      <c r="C17" s="19">
        <v>0</v>
      </c>
      <c r="D17" s="19">
        <v>0</v>
      </c>
      <c r="E17" s="3"/>
      <c r="F17" s="3" t="s">
        <v>309</v>
      </c>
    </row>
    <row r="18" spans="1:6" ht="20.100000000000001" customHeight="1" x14ac:dyDescent="0.25">
      <c r="A18" s="3" t="s">
        <v>310</v>
      </c>
      <c r="B18" s="3" t="s">
        <v>311</v>
      </c>
      <c r="C18" s="19">
        <v>0</v>
      </c>
      <c r="D18" s="19">
        <v>0</v>
      </c>
      <c r="E18" s="3"/>
      <c r="F18" s="3" t="s">
        <v>312</v>
      </c>
    </row>
    <row r="19" spans="1:6" ht="20.100000000000001" customHeight="1" x14ac:dyDescent="0.25">
      <c r="A19" s="3" t="s">
        <v>313</v>
      </c>
      <c r="B19" s="3" t="s">
        <v>314</v>
      </c>
      <c r="C19" s="19">
        <v>0</v>
      </c>
      <c r="D19" s="19">
        <v>0</v>
      </c>
      <c r="E19" s="3"/>
      <c r="F19" s="3" t="s">
        <v>315</v>
      </c>
    </row>
    <row r="20" spans="1:6" ht="20.100000000000001" customHeight="1" x14ac:dyDescent="0.25">
      <c r="A20" s="3" t="s">
        <v>316</v>
      </c>
      <c r="B20" s="3" t="s">
        <v>317</v>
      </c>
      <c r="C20" s="19">
        <v>0</v>
      </c>
      <c r="D20" s="19">
        <v>0</v>
      </c>
      <c r="E20" s="3"/>
      <c r="F20" s="3" t="s">
        <v>318</v>
      </c>
    </row>
    <row r="21" spans="1:6" ht="20.100000000000001" customHeight="1" x14ac:dyDescent="0.25">
      <c r="A21" s="3" t="s">
        <v>319</v>
      </c>
      <c r="B21" s="3" t="s">
        <v>320</v>
      </c>
      <c r="C21" s="19">
        <v>0</v>
      </c>
      <c r="D21" s="19">
        <v>0</v>
      </c>
      <c r="E21" s="3"/>
      <c r="F21" s="3" t="s">
        <v>321</v>
      </c>
    </row>
    <row r="22" spans="1:6" ht="20.100000000000001" customHeight="1" x14ac:dyDescent="0.25">
      <c r="A22" s="3" t="s">
        <v>322</v>
      </c>
      <c r="B22" s="3" t="s">
        <v>323</v>
      </c>
      <c r="C22" s="19">
        <v>0</v>
      </c>
      <c r="D22" s="19">
        <v>0</v>
      </c>
      <c r="E22" s="3"/>
      <c r="F22" s="3" t="s">
        <v>324</v>
      </c>
    </row>
    <row r="23" spans="1:6" ht="20.100000000000001" customHeight="1" x14ac:dyDescent="0.25">
      <c r="A23" s="3" t="s">
        <v>325</v>
      </c>
      <c r="B23" s="3" t="s">
        <v>326</v>
      </c>
      <c r="C23" s="19">
        <v>0</v>
      </c>
      <c r="D23" s="19">
        <v>0</v>
      </c>
      <c r="E23" s="3"/>
      <c r="F23" s="3" t="s">
        <v>327</v>
      </c>
    </row>
    <row r="24" spans="1:6" ht="20.100000000000001" customHeight="1" x14ac:dyDescent="0.25">
      <c r="A24" s="3" t="s">
        <v>328</v>
      </c>
      <c r="B24" s="3" t="s">
        <v>329</v>
      </c>
      <c r="C24" s="19">
        <v>0</v>
      </c>
      <c r="D24" s="19">
        <v>0</v>
      </c>
      <c r="E24" s="3"/>
      <c r="F24" s="3" t="s">
        <v>330</v>
      </c>
    </row>
    <row r="25" spans="1:6" ht="20.100000000000001" customHeight="1" x14ac:dyDescent="0.25">
      <c r="A25" s="3" t="s">
        <v>331</v>
      </c>
      <c r="B25" s="3" t="s">
        <v>332</v>
      </c>
      <c r="C25" s="19">
        <v>36.9983</v>
      </c>
      <c r="D25" s="19">
        <v>62.314599999999999</v>
      </c>
      <c r="E25" s="3"/>
      <c r="F25" s="3" t="s">
        <v>333</v>
      </c>
    </row>
    <row r="26" spans="1:6" ht="20.100000000000001" customHeight="1" x14ac:dyDescent="0.25">
      <c r="A26" s="14" t="s">
        <v>334</v>
      </c>
      <c r="B26" s="14" t="s">
        <v>335</v>
      </c>
      <c r="C26" s="20">
        <v>37</v>
      </c>
      <c r="D26" s="20">
        <v>62.31</v>
      </c>
      <c r="E26" s="14"/>
      <c r="F26" s="14"/>
    </row>
    <row r="27" spans="1:6" ht="20.100000000000001" customHeight="1" x14ac:dyDescent="0.25">
      <c r="A27" s="15"/>
      <c r="B27" s="15"/>
      <c r="C27" s="15"/>
      <c r="D27" s="15"/>
      <c r="E27" s="15"/>
      <c r="F27" s="15"/>
    </row>
    <row r="28" spans="1:6" ht="20.100000000000001" customHeight="1" x14ac:dyDescent="0.25">
      <c r="A28" s="13" t="s">
        <v>336</v>
      </c>
      <c r="B28" s="13" t="s">
        <v>337</v>
      </c>
      <c r="C28" s="20">
        <v>37</v>
      </c>
      <c r="D28" s="20">
        <v>1874.39</v>
      </c>
      <c r="E28" s="13"/>
      <c r="F28" s="13"/>
    </row>
    <row r="31" spans="1:6" ht="15.95" customHeight="1" x14ac:dyDescent="0.25">
      <c r="A31" s="5"/>
      <c r="B31" s="6" t="s">
        <v>68</v>
      </c>
    </row>
    <row r="32" spans="1:6" ht="15.95" customHeight="1" x14ac:dyDescent="0.25">
      <c r="A32" s="7"/>
      <c r="B32" s="8" t="s">
        <v>69</v>
      </c>
    </row>
    <row r="33" spans="1:2" ht="15.95" customHeight="1" x14ac:dyDescent="0.25">
      <c r="A33" s="9"/>
      <c r="B33" s="10" t="s">
        <v>70</v>
      </c>
    </row>
    <row r="34" spans="1:2" ht="15.95" customHeight="1" x14ac:dyDescent="0.25">
      <c r="A34" s="11"/>
      <c r="B34" s="12" t="s">
        <v>71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5"/>
  <sheetViews>
    <sheetView showGridLines="0" workbookViewId="0">
      <selection sqref="A1:G1"/>
    </sheetView>
  </sheetViews>
  <sheetFormatPr defaultRowHeight="15" x14ac:dyDescent="0.25"/>
  <cols>
    <col min="1" max="1" width="8" customWidth="1"/>
    <col min="2" max="2" width="12" customWidth="1"/>
    <col min="3" max="3" width="14" customWidth="1"/>
    <col min="4" max="4" width="38" customWidth="1"/>
    <col min="5" max="5" width="16" customWidth="1"/>
    <col min="6" max="6" width="22" customWidth="1"/>
    <col min="7" max="7" width="16" customWidth="1"/>
  </cols>
  <sheetData>
    <row r="1" spans="1:7" ht="33.950000000000003" customHeight="1" x14ac:dyDescent="0.25">
      <c r="A1" s="42" t="s">
        <v>338</v>
      </c>
      <c r="B1" s="33"/>
      <c r="C1" s="33"/>
      <c r="D1" s="33"/>
      <c r="E1" s="33"/>
      <c r="F1" s="33"/>
      <c r="G1" s="33"/>
    </row>
    <row r="2" spans="1:7" ht="15" customHeight="1" x14ac:dyDescent="0.25">
      <c r="A2" s="38" t="s">
        <v>339</v>
      </c>
      <c r="B2" s="33"/>
      <c r="C2" s="33"/>
      <c r="D2" s="33"/>
      <c r="E2" s="33"/>
      <c r="F2" s="33"/>
      <c r="G2" s="33"/>
    </row>
    <row r="3" spans="1:7" ht="32.1" customHeight="1" x14ac:dyDescent="0.25">
      <c r="A3" s="1" t="s">
        <v>340</v>
      </c>
      <c r="B3" s="1" t="s">
        <v>341</v>
      </c>
      <c r="C3" s="1" t="s">
        <v>114</v>
      </c>
      <c r="D3" s="1" t="s">
        <v>39</v>
      </c>
      <c r="E3" s="1" t="s">
        <v>342</v>
      </c>
      <c r="F3" s="1" t="s">
        <v>343</v>
      </c>
      <c r="G3" s="1" t="s">
        <v>344</v>
      </c>
    </row>
    <row r="4" spans="1:7" ht="20.100000000000001" customHeight="1" x14ac:dyDescent="0.25">
      <c r="A4" s="21">
        <v>1</v>
      </c>
      <c r="B4" s="21" t="s">
        <v>345</v>
      </c>
      <c r="C4" s="21" t="s">
        <v>296</v>
      </c>
      <c r="D4" s="21" t="s">
        <v>297</v>
      </c>
      <c r="E4" s="21">
        <v>664.21659999999997</v>
      </c>
      <c r="F4" s="21">
        <v>35.44</v>
      </c>
      <c r="G4" s="21">
        <v>35.44</v>
      </c>
    </row>
    <row r="5" spans="1:7" ht="20.100000000000001" customHeight="1" x14ac:dyDescent="0.25">
      <c r="A5" s="21">
        <v>2</v>
      </c>
      <c r="B5" s="21" t="s">
        <v>346</v>
      </c>
      <c r="C5" s="21" t="s">
        <v>289</v>
      </c>
      <c r="D5" s="21" t="s">
        <v>290</v>
      </c>
      <c r="E5" s="21">
        <v>627.89089999999999</v>
      </c>
      <c r="F5" s="21">
        <v>33.5</v>
      </c>
      <c r="G5" s="21">
        <v>68.930000000000007</v>
      </c>
    </row>
    <row r="6" spans="1:7" ht="20.100000000000001" customHeight="1" x14ac:dyDescent="0.25">
      <c r="A6" s="19">
        <v>3</v>
      </c>
      <c r="B6" s="19" t="s">
        <v>346</v>
      </c>
      <c r="C6" s="19" t="s">
        <v>286</v>
      </c>
      <c r="D6" s="19" t="s">
        <v>287</v>
      </c>
      <c r="E6" s="19">
        <v>492.34789999999998</v>
      </c>
      <c r="F6" s="19">
        <v>26.27</v>
      </c>
      <c r="G6" s="19">
        <v>95.2</v>
      </c>
    </row>
    <row r="7" spans="1:7" ht="20.100000000000001" customHeight="1" x14ac:dyDescent="0.25">
      <c r="A7" s="19">
        <v>4</v>
      </c>
      <c r="B7" s="19" t="s">
        <v>347</v>
      </c>
      <c r="C7" s="19" t="s">
        <v>331</v>
      </c>
      <c r="D7" s="19" t="s">
        <v>332</v>
      </c>
      <c r="E7" s="19">
        <v>62.314599999999999</v>
      </c>
      <c r="F7" s="19">
        <v>3.32</v>
      </c>
      <c r="G7" s="19">
        <v>98.53</v>
      </c>
    </row>
    <row r="8" spans="1:7" ht="20.100000000000001" customHeight="1" x14ac:dyDescent="0.25">
      <c r="A8" s="19">
        <v>5</v>
      </c>
      <c r="B8" s="19" t="s">
        <v>346</v>
      </c>
      <c r="C8" s="19" t="s">
        <v>283</v>
      </c>
      <c r="D8" s="19" t="s">
        <v>284</v>
      </c>
      <c r="E8" s="19">
        <v>27.622699999999998</v>
      </c>
      <c r="F8" s="19">
        <v>1.47</v>
      </c>
      <c r="G8" s="19">
        <v>100</v>
      </c>
    </row>
    <row r="9" spans="1:7" ht="20.100000000000001" customHeight="1" x14ac:dyDescent="0.25">
      <c r="A9" s="44" t="s">
        <v>348</v>
      </c>
      <c r="B9" s="40"/>
      <c r="C9" s="40"/>
      <c r="D9" s="40"/>
      <c r="E9" s="40"/>
      <c r="F9" s="40"/>
      <c r="G9" s="41"/>
    </row>
    <row r="10" spans="1:7" x14ac:dyDescent="0.25">
      <c r="A10" s="22"/>
      <c r="B10" s="22"/>
      <c r="C10" s="22"/>
      <c r="D10" s="22"/>
      <c r="E10" s="22"/>
      <c r="F10" s="22"/>
      <c r="G10" s="22"/>
    </row>
    <row r="11" spans="1:7" x14ac:dyDescent="0.25">
      <c r="A11" s="22"/>
      <c r="B11" s="22"/>
      <c r="C11" s="22"/>
      <c r="D11" s="22"/>
      <c r="E11" s="22"/>
      <c r="F11" s="22"/>
      <c r="G11" s="22"/>
    </row>
    <row r="12" spans="1:7" ht="20.100000000000001" customHeight="1" x14ac:dyDescent="0.25">
      <c r="A12" s="45"/>
      <c r="B12" s="40"/>
      <c r="C12" s="40"/>
      <c r="D12" s="40"/>
      <c r="E12" s="40"/>
      <c r="F12" s="40"/>
      <c r="G12" s="41"/>
    </row>
    <row r="13" spans="1:7" ht="15" customHeight="1" x14ac:dyDescent="0.25">
      <c r="A13" s="43"/>
      <c r="B13" s="33"/>
      <c r="C13" s="33"/>
      <c r="D13" s="33"/>
      <c r="E13" s="33"/>
      <c r="F13" s="33"/>
      <c r="G13" s="33"/>
    </row>
    <row r="14" spans="1:7" ht="15" customHeight="1" x14ac:dyDescent="0.25">
      <c r="A14" s="43"/>
      <c r="B14" s="33"/>
      <c r="C14" s="33"/>
      <c r="D14" s="33"/>
      <c r="E14" s="33"/>
      <c r="F14" s="33"/>
      <c r="G14" s="33"/>
    </row>
    <row r="15" spans="1:7" ht="15" customHeight="1" x14ac:dyDescent="0.25">
      <c r="A15" s="43"/>
      <c r="B15" s="33"/>
      <c r="C15" s="33"/>
      <c r="D15" s="33"/>
      <c r="E15" s="33"/>
      <c r="F15" s="33"/>
      <c r="G15" s="33"/>
    </row>
    <row r="16" spans="1:7" ht="15" customHeight="1" x14ac:dyDescent="0.25">
      <c r="A16" s="43"/>
      <c r="B16" s="33"/>
      <c r="C16" s="33"/>
      <c r="D16" s="33"/>
      <c r="E16" s="33"/>
      <c r="F16" s="33"/>
      <c r="G16" s="33"/>
    </row>
    <row r="17" spans="1:7" ht="15" customHeight="1" x14ac:dyDescent="0.25">
      <c r="A17" s="43"/>
      <c r="B17" s="33"/>
      <c r="C17" s="33"/>
      <c r="D17" s="33"/>
      <c r="E17" s="33"/>
      <c r="F17" s="33"/>
      <c r="G17" s="33"/>
    </row>
    <row r="18" spans="1:7" x14ac:dyDescent="0.25">
      <c r="A18" s="22"/>
      <c r="B18" s="22"/>
      <c r="C18" s="22"/>
      <c r="D18" s="22"/>
      <c r="E18" s="22"/>
      <c r="F18" s="22"/>
      <c r="G18" s="22"/>
    </row>
    <row r="19" spans="1:7" x14ac:dyDescent="0.25">
      <c r="A19" s="22"/>
      <c r="B19" s="22"/>
      <c r="C19" s="22"/>
      <c r="D19" s="22"/>
      <c r="E19" s="22"/>
      <c r="F19" s="22"/>
      <c r="G19" s="22"/>
    </row>
    <row r="20" spans="1:7" x14ac:dyDescent="0.25">
      <c r="A20" s="22"/>
      <c r="B20" s="22"/>
      <c r="C20" s="22"/>
      <c r="D20" s="22"/>
      <c r="E20" s="22"/>
      <c r="F20" s="22"/>
      <c r="G20" s="22"/>
    </row>
    <row r="21" spans="1:7" x14ac:dyDescent="0.25">
      <c r="A21" s="22"/>
      <c r="B21" s="22"/>
      <c r="C21" s="22"/>
      <c r="D21" s="22"/>
      <c r="E21" s="22"/>
      <c r="F21" s="22"/>
      <c r="G21" s="22"/>
    </row>
    <row r="22" spans="1:7" x14ac:dyDescent="0.25">
      <c r="A22" s="22"/>
      <c r="B22" s="22"/>
      <c r="C22" s="22"/>
      <c r="D22" s="22"/>
      <c r="E22" s="22"/>
      <c r="F22" s="22"/>
      <c r="G22" s="22"/>
    </row>
    <row r="23" spans="1:7" x14ac:dyDescent="0.25">
      <c r="A23" s="22"/>
      <c r="B23" s="22"/>
      <c r="C23" s="22"/>
      <c r="D23" s="22"/>
      <c r="E23" s="22"/>
      <c r="F23" s="22"/>
      <c r="G23" s="22"/>
    </row>
    <row r="24" spans="1:7" x14ac:dyDescent="0.25">
      <c r="A24" s="22"/>
      <c r="B24" s="22"/>
      <c r="C24" s="22"/>
      <c r="D24" s="22"/>
      <c r="E24" s="22"/>
      <c r="F24" s="22"/>
      <c r="G24" s="22"/>
    </row>
    <row r="25" spans="1:7" x14ac:dyDescent="0.25">
      <c r="A25" s="22"/>
      <c r="B25" s="22"/>
      <c r="C25" s="22"/>
      <c r="D25" s="22"/>
      <c r="E25" s="22"/>
      <c r="F25" s="22"/>
      <c r="G25" s="22"/>
    </row>
    <row r="26" spans="1:7" x14ac:dyDescent="0.25">
      <c r="A26" s="22"/>
      <c r="B26" s="22"/>
      <c r="C26" s="22"/>
      <c r="D26" s="22"/>
      <c r="E26" s="22"/>
      <c r="F26" s="22"/>
      <c r="G26" s="22"/>
    </row>
    <row r="27" spans="1:7" x14ac:dyDescent="0.25">
      <c r="A27" s="22"/>
      <c r="B27" s="22"/>
      <c r="C27" s="22"/>
      <c r="D27" s="22"/>
      <c r="E27" s="22"/>
      <c r="F27" s="22"/>
      <c r="G27" s="22"/>
    </row>
    <row r="28" spans="1:7" x14ac:dyDescent="0.25">
      <c r="A28" s="22"/>
      <c r="B28" s="22"/>
      <c r="C28" s="22"/>
      <c r="D28" s="22"/>
      <c r="E28" s="22"/>
      <c r="F28" s="22"/>
      <c r="G28" s="22"/>
    </row>
    <row r="29" spans="1:7" x14ac:dyDescent="0.25">
      <c r="A29" s="22"/>
      <c r="B29" s="22"/>
      <c r="C29" s="22"/>
      <c r="D29" s="22"/>
      <c r="E29" s="22"/>
      <c r="F29" s="22"/>
      <c r="G29" s="22"/>
    </row>
    <row r="30" spans="1:7" x14ac:dyDescent="0.25">
      <c r="A30" s="22"/>
      <c r="B30" s="22"/>
      <c r="C30" s="22"/>
      <c r="D30" s="22"/>
      <c r="E30" s="22"/>
      <c r="F30" s="22"/>
      <c r="G30" s="22"/>
    </row>
    <row r="31" spans="1:7" x14ac:dyDescent="0.25">
      <c r="A31" s="22"/>
      <c r="B31" s="22"/>
      <c r="C31" s="22"/>
      <c r="D31" s="22"/>
      <c r="E31" s="22"/>
      <c r="F31" s="22"/>
      <c r="G31" s="22"/>
    </row>
    <row r="32" spans="1:7" x14ac:dyDescent="0.25">
      <c r="A32" s="22"/>
      <c r="B32" s="22"/>
      <c r="C32" s="22"/>
      <c r="D32" s="22"/>
      <c r="E32" s="22"/>
      <c r="F32" s="22"/>
      <c r="G32" s="22"/>
    </row>
    <row r="33" spans="1:7" x14ac:dyDescent="0.25">
      <c r="A33" s="22"/>
      <c r="B33" s="22"/>
      <c r="C33" s="22"/>
      <c r="D33" s="22"/>
      <c r="E33" s="22"/>
      <c r="F33" s="22"/>
      <c r="G33" s="22"/>
    </row>
    <row r="34" spans="1:7" x14ac:dyDescent="0.25">
      <c r="A34" s="22"/>
      <c r="B34" s="22"/>
      <c r="C34" s="22"/>
      <c r="D34" s="22"/>
      <c r="E34" s="22"/>
      <c r="F34" s="22"/>
      <c r="G34" s="22"/>
    </row>
    <row r="35" spans="1:7" x14ac:dyDescent="0.25">
      <c r="A35" s="22"/>
      <c r="B35" s="22"/>
      <c r="C35" s="22"/>
      <c r="D35" s="22"/>
      <c r="E35" s="22"/>
      <c r="F35" s="22"/>
      <c r="G35" s="22"/>
    </row>
  </sheetData>
  <mergeCells count="9">
    <mergeCell ref="A13:G13"/>
    <mergeCell ref="A14:G14"/>
    <mergeCell ref="A1:G1"/>
    <mergeCell ref="A17:G17"/>
    <mergeCell ref="A9:G9"/>
    <mergeCell ref="A12:G12"/>
    <mergeCell ref="A2:G2"/>
    <mergeCell ref="A16:G16"/>
    <mergeCell ref="A15:G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0"/>
  <sheetViews>
    <sheetView showGridLines="0" workbookViewId="0">
      <selection activeCell="A4" sqref="A4"/>
    </sheetView>
  </sheetViews>
  <sheetFormatPr defaultRowHeight="15" x14ac:dyDescent="0.25"/>
  <cols>
    <col min="1" max="1" width="8" customWidth="1"/>
    <col min="2" max="2" width="30" customWidth="1"/>
    <col min="3" max="3" width="16" customWidth="1"/>
    <col min="4" max="4" width="18" customWidth="1"/>
    <col min="5" max="7" width="16" customWidth="1"/>
    <col min="8" max="8" width="18" customWidth="1"/>
  </cols>
  <sheetData>
    <row r="1" spans="1:8" ht="33.950000000000003" customHeight="1" x14ac:dyDescent="0.25">
      <c r="A1" s="42" t="s">
        <v>349</v>
      </c>
      <c r="B1" s="33"/>
      <c r="C1" s="33"/>
      <c r="D1" s="33"/>
      <c r="E1" s="33"/>
      <c r="F1" s="33"/>
      <c r="G1" s="33"/>
    </row>
    <row r="2" spans="1:8" ht="15" customHeight="1" x14ac:dyDescent="0.25">
      <c r="A2" s="38" t="s">
        <v>350</v>
      </c>
      <c r="B2" s="33"/>
      <c r="C2" s="33"/>
      <c r="D2" s="33"/>
      <c r="E2" s="33"/>
      <c r="F2" s="33"/>
      <c r="G2" s="33"/>
    </row>
    <row r="3" spans="1:8" ht="32.1" customHeight="1" x14ac:dyDescent="0.25">
      <c r="A3" s="1" t="s">
        <v>38</v>
      </c>
      <c r="B3" s="1" t="s">
        <v>351</v>
      </c>
      <c r="C3" s="1" t="s">
        <v>255</v>
      </c>
      <c r="D3" s="1" t="s">
        <v>352</v>
      </c>
      <c r="E3" s="1" t="s">
        <v>353</v>
      </c>
      <c r="F3" s="1" t="s">
        <v>354</v>
      </c>
      <c r="G3" s="1" t="s">
        <v>355</v>
      </c>
      <c r="H3" s="1" t="s">
        <v>356</v>
      </c>
    </row>
    <row r="4" spans="1:8" ht="20.100000000000001" customHeight="1" x14ac:dyDescent="0.25">
      <c r="A4" s="23">
        <v>2024</v>
      </c>
      <c r="B4" s="23" t="s">
        <v>257</v>
      </c>
      <c r="C4" s="23">
        <v>250</v>
      </c>
      <c r="D4" s="23">
        <v>11.9503</v>
      </c>
      <c r="E4" s="23">
        <v>0</v>
      </c>
      <c r="F4" s="23">
        <v>0</v>
      </c>
      <c r="G4" s="23">
        <v>11.9503</v>
      </c>
      <c r="H4" s="23">
        <v>4.7800000000000002E-2</v>
      </c>
    </row>
    <row r="5" spans="1:8" ht="20.100000000000001" customHeight="1" x14ac:dyDescent="0.25">
      <c r="A5" s="23">
        <v>2024</v>
      </c>
      <c r="B5" s="23" t="s">
        <v>260</v>
      </c>
      <c r="C5" s="23">
        <v>380</v>
      </c>
      <c r="D5" s="23">
        <v>18.1645</v>
      </c>
      <c r="E5" s="23">
        <v>0</v>
      </c>
      <c r="F5" s="23">
        <v>0</v>
      </c>
      <c r="G5" s="23">
        <v>18.1645</v>
      </c>
      <c r="H5" s="23">
        <v>4.7800000000000002E-2</v>
      </c>
    </row>
    <row r="6" spans="1:8" ht="20.100000000000001" customHeight="1" x14ac:dyDescent="0.25">
      <c r="A6" s="23">
        <v>2024</v>
      </c>
      <c r="B6" s="23" t="s">
        <v>263</v>
      </c>
      <c r="C6" s="23">
        <v>90</v>
      </c>
      <c r="D6" s="23">
        <v>4.3021000000000003</v>
      </c>
      <c r="E6" s="23">
        <v>0</v>
      </c>
      <c r="F6" s="23">
        <v>0</v>
      </c>
      <c r="G6" s="23">
        <v>4.3021000000000003</v>
      </c>
      <c r="H6" s="23">
        <v>4.7800000000000002E-2</v>
      </c>
    </row>
    <row r="7" spans="1:8" ht="20.100000000000001" customHeight="1" x14ac:dyDescent="0.25">
      <c r="A7" s="23">
        <v>2024</v>
      </c>
      <c r="B7" s="23" t="s">
        <v>266</v>
      </c>
      <c r="C7" s="23">
        <v>54</v>
      </c>
      <c r="D7" s="23">
        <v>2.5813000000000001</v>
      </c>
      <c r="E7" s="23">
        <v>0</v>
      </c>
      <c r="F7" s="23">
        <v>0</v>
      </c>
      <c r="G7" s="23">
        <v>2.5813000000000001</v>
      </c>
      <c r="H7" s="23">
        <v>4.7800000000000002E-2</v>
      </c>
    </row>
    <row r="8" spans="1:8" ht="20.100000000000001" customHeight="1" x14ac:dyDescent="0.25">
      <c r="A8" s="20">
        <v>2024</v>
      </c>
      <c r="B8" s="20" t="s">
        <v>357</v>
      </c>
      <c r="C8" s="20">
        <v>774</v>
      </c>
      <c r="D8" s="20">
        <v>36.9983</v>
      </c>
      <c r="E8" s="20">
        <v>0</v>
      </c>
      <c r="F8" s="20">
        <v>0</v>
      </c>
      <c r="G8" s="20">
        <v>36.9983</v>
      </c>
      <c r="H8" s="20">
        <v>4.7800000000000002E-2</v>
      </c>
    </row>
    <row r="9" spans="1:8" x14ac:dyDescent="0.25">
      <c r="A9" s="22"/>
      <c r="B9" s="22"/>
      <c r="C9" s="22"/>
      <c r="D9" s="22"/>
      <c r="E9" s="22"/>
      <c r="F9" s="22"/>
      <c r="G9" s="22"/>
      <c r="H9" s="22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ht="20.100000000000001" customHeight="1" x14ac:dyDescent="0.25">
      <c r="A11" s="45"/>
      <c r="B11" s="40"/>
      <c r="C11" s="40"/>
      <c r="D11" s="40"/>
      <c r="E11" s="40"/>
      <c r="F11" s="40"/>
      <c r="G11" s="40"/>
      <c r="H11" s="41"/>
    </row>
    <row r="12" spans="1:8" ht="15" customHeight="1" x14ac:dyDescent="0.25">
      <c r="A12" s="43"/>
      <c r="B12" s="33"/>
      <c r="C12" s="33"/>
      <c r="D12" s="33"/>
      <c r="E12" s="33"/>
      <c r="F12" s="33"/>
      <c r="G12" s="33"/>
      <c r="H12" s="33"/>
    </row>
    <row r="13" spans="1:8" ht="15" customHeight="1" x14ac:dyDescent="0.25">
      <c r="A13" s="43"/>
      <c r="B13" s="33"/>
      <c r="C13" s="33"/>
      <c r="D13" s="33"/>
      <c r="E13" s="33"/>
      <c r="F13" s="33"/>
      <c r="G13" s="33"/>
      <c r="H13" s="33"/>
    </row>
    <row r="14" spans="1:8" ht="15" customHeight="1" x14ac:dyDescent="0.25">
      <c r="A14" s="43"/>
      <c r="B14" s="33"/>
      <c r="C14" s="33"/>
      <c r="D14" s="33"/>
      <c r="E14" s="33"/>
      <c r="F14" s="33"/>
      <c r="G14" s="33"/>
      <c r="H14" s="33"/>
    </row>
    <row r="15" spans="1:8" ht="15" customHeight="1" x14ac:dyDescent="0.25">
      <c r="A15" s="43"/>
      <c r="B15" s="33"/>
      <c r="C15" s="33"/>
      <c r="D15" s="33"/>
      <c r="E15" s="33"/>
      <c r="F15" s="33"/>
      <c r="G15" s="33"/>
      <c r="H15" s="33"/>
    </row>
    <row r="16" spans="1:8" x14ac:dyDescent="0.25">
      <c r="A16" s="22"/>
      <c r="B16" s="22"/>
      <c r="C16" s="22"/>
      <c r="D16" s="22"/>
      <c r="E16" s="22"/>
      <c r="F16" s="22"/>
      <c r="G16" s="22"/>
      <c r="H16" s="22"/>
    </row>
    <row r="17" spans="1:8" ht="15.95" customHeight="1" x14ac:dyDescent="0.25">
      <c r="A17" s="24"/>
      <c r="B17" s="25"/>
      <c r="C17" s="22"/>
      <c r="D17" s="22"/>
      <c r="E17" s="22"/>
      <c r="F17" s="22"/>
      <c r="G17" s="22"/>
      <c r="H17" s="22"/>
    </row>
    <row r="18" spans="1:8" ht="15.95" customHeight="1" x14ac:dyDescent="0.25">
      <c r="A18" s="24"/>
      <c r="B18" s="26"/>
      <c r="C18" s="22"/>
      <c r="D18" s="22"/>
      <c r="E18" s="22"/>
      <c r="F18" s="22"/>
      <c r="G18" s="22"/>
      <c r="H18" s="22"/>
    </row>
    <row r="19" spans="1:8" ht="15.95" customHeight="1" x14ac:dyDescent="0.25">
      <c r="A19" s="24"/>
      <c r="B19" s="27"/>
      <c r="C19" s="22"/>
      <c r="D19" s="22"/>
      <c r="E19" s="22"/>
      <c r="F19" s="22"/>
      <c r="G19" s="22"/>
      <c r="H19" s="22"/>
    </row>
    <row r="20" spans="1:8" ht="15.95" customHeight="1" x14ac:dyDescent="0.25">
      <c r="A20" s="24"/>
      <c r="B20" s="28"/>
      <c r="C20" s="22"/>
      <c r="D20" s="22"/>
      <c r="E20" s="22"/>
      <c r="F20" s="22"/>
      <c r="G20" s="22"/>
      <c r="H20" s="22"/>
    </row>
    <row r="21" spans="1:8" x14ac:dyDescent="0.25">
      <c r="A21" s="22"/>
      <c r="B21" s="22"/>
      <c r="C21" s="22"/>
      <c r="D21" s="22"/>
      <c r="E21" s="22"/>
      <c r="F21" s="22"/>
      <c r="G21" s="22"/>
      <c r="H21" s="22"/>
    </row>
    <row r="22" spans="1:8" x14ac:dyDescent="0.25">
      <c r="A22" s="22"/>
      <c r="B22" s="22"/>
      <c r="C22" s="22"/>
      <c r="D22" s="22"/>
      <c r="E22" s="22"/>
      <c r="F22" s="22"/>
      <c r="G22" s="22"/>
      <c r="H22" s="22"/>
    </row>
    <row r="23" spans="1:8" x14ac:dyDescent="0.25">
      <c r="A23" s="22"/>
      <c r="B23" s="22"/>
      <c r="C23" s="22"/>
      <c r="D23" s="22"/>
      <c r="E23" s="22"/>
      <c r="F23" s="22"/>
      <c r="G23" s="22"/>
      <c r="H23" s="22"/>
    </row>
    <row r="24" spans="1:8" x14ac:dyDescent="0.25">
      <c r="A24" s="22"/>
      <c r="B24" s="22"/>
      <c r="C24" s="22"/>
      <c r="D24" s="22"/>
      <c r="E24" s="22"/>
      <c r="F24" s="22"/>
      <c r="G24" s="22"/>
      <c r="H24" s="22"/>
    </row>
    <row r="25" spans="1:8" x14ac:dyDescent="0.25">
      <c r="A25" s="22"/>
      <c r="B25" s="22"/>
      <c r="C25" s="22"/>
      <c r="D25" s="22"/>
      <c r="E25" s="22"/>
      <c r="F25" s="22"/>
      <c r="G25" s="22"/>
      <c r="H25" s="22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x14ac:dyDescent="0.25">
      <c r="A27" s="22"/>
      <c r="B27" s="22"/>
      <c r="C27" s="22"/>
      <c r="D27" s="22"/>
      <c r="E27" s="22"/>
      <c r="F27" s="22"/>
      <c r="G27" s="22"/>
      <c r="H27" s="22"/>
    </row>
    <row r="28" spans="1:8" x14ac:dyDescent="0.25">
      <c r="A28" s="22"/>
      <c r="B28" s="22"/>
      <c r="C28" s="22"/>
      <c r="D28" s="22"/>
      <c r="E28" s="22"/>
      <c r="F28" s="22"/>
      <c r="G28" s="22"/>
      <c r="H28" s="22"/>
    </row>
    <row r="29" spans="1:8" x14ac:dyDescent="0.25">
      <c r="A29" s="22"/>
      <c r="B29" s="22"/>
      <c r="C29" s="22"/>
      <c r="D29" s="22"/>
      <c r="E29" s="22"/>
      <c r="F29" s="22"/>
      <c r="G29" s="22"/>
      <c r="H29" s="22"/>
    </row>
    <row r="30" spans="1:8" x14ac:dyDescent="0.25">
      <c r="A30" s="22"/>
      <c r="B30" s="22"/>
      <c r="C30" s="22"/>
      <c r="D30" s="22"/>
      <c r="E30" s="22"/>
      <c r="F30" s="22"/>
      <c r="G30" s="22"/>
      <c r="H30" s="22"/>
    </row>
    <row r="31" spans="1:8" x14ac:dyDescent="0.25">
      <c r="A31" s="22"/>
      <c r="B31" s="22"/>
      <c r="C31" s="22"/>
      <c r="D31" s="22"/>
      <c r="E31" s="22"/>
      <c r="F31" s="22"/>
      <c r="G31" s="22"/>
      <c r="H31" s="22"/>
    </row>
    <row r="32" spans="1:8" x14ac:dyDescent="0.25">
      <c r="A32" s="22"/>
      <c r="B32" s="22"/>
      <c r="C32" s="22"/>
      <c r="D32" s="22"/>
      <c r="E32" s="22"/>
      <c r="F32" s="22"/>
      <c r="G32" s="22"/>
      <c r="H32" s="22"/>
    </row>
    <row r="33" spans="1:8" x14ac:dyDescent="0.25">
      <c r="A33" s="22"/>
      <c r="B33" s="22"/>
      <c r="C33" s="22"/>
      <c r="D33" s="22"/>
      <c r="E33" s="22"/>
      <c r="F33" s="22"/>
      <c r="G33" s="22"/>
      <c r="H33" s="22"/>
    </row>
    <row r="34" spans="1:8" x14ac:dyDescent="0.25">
      <c r="A34" s="22"/>
      <c r="B34" s="22"/>
      <c r="C34" s="22"/>
      <c r="D34" s="22"/>
      <c r="E34" s="22"/>
      <c r="F34" s="22"/>
      <c r="G34" s="22"/>
      <c r="H34" s="22"/>
    </row>
    <row r="35" spans="1:8" x14ac:dyDescent="0.25">
      <c r="A35" s="22"/>
      <c r="B35" s="22"/>
      <c r="C35" s="22"/>
      <c r="D35" s="22"/>
      <c r="E35" s="22"/>
      <c r="F35" s="22"/>
      <c r="G35" s="22"/>
      <c r="H35" s="22"/>
    </row>
    <row r="36" spans="1:8" x14ac:dyDescent="0.25">
      <c r="A36" s="22"/>
      <c r="B36" s="22"/>
      <c r="C36" s="22"/>
      <c r="D36" s="22"/>
      <c r="E36" s="22"/>
      <c r="F36" s="22"/>
      <c r="G36" s="22"/>
      <c r="H36" s="22"/>
    </row>
    <row r="37" spans="1:8" x14ac:dyDescent="0.25">
      <c r="A37" s="22"/>
      <c r="B37" s="22"/>
      <c r="C37" s="22"/>
      <c r="D37" s="22"/>
      <c r="E37" s="22"/>
      <c r="F37" s="22"/>
      <c r="G37" s="22"/>
      <c r="H37" s="22"/>
    </row>
    <row r="38" spans="1:8" x14ac:dyDescent="0.25">
      <c r="A38" s="22"/>
      <c r="B38" s="22"/>
      <c r="C38" s="22"/>
      <c r="D38" s="22"/>
      <c r="E38" s="22"/>
      <c r="F38" s="22"/>
      <c r="G38" s="22"/>
      <c r="H38" s="22"/>
    </row>
    <row r="39" spans="1:8" x14ac:dyDescent="0.25">
      <c r="A39" s="22"/>
      <c r="B39" s="22"/>
      <c r="C39" s="22"/>
      <c r="D39" s="22"/>
      <c r="E39" s="22"/>
      <c r="F39" s="22"/>
      <c r="G39" s="22"/>
      <c r="H39" s="22"/>
    </row>
    <row r="40" spans="1:8" x14ac:dyDescent="0.25">
      <c r="A40" s="22"/>
      <c r="B40" s="22"/>
      <c r="C40" s="22"/>
      <c r="D40" s="22"/>
      <c r="E40" s="22"/>
      <c r="F40" s="22"/>
      <c r="G40" s="22"/>
      <c r="H40" s="22"/>
    </row>
  </sheetData>
  <mergeCells count="7">
    <mergeCell ref="A12:H12"/>
    <mergeCell ref="A1:G1"/>
    <mergeCell ref="A15:H15"/>
    <mergeCell ref="A13:H13"/>
    <mergeCell ref="A2:G2"/>
    <mergeCell ref="A11:H11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20</vt:i4>
      </vt:variant>
    </vt:vector>
  </HeadingPairs>
  <TitlesOfParts>
    <vt:vector size="20" baseType="lpstr">
      <vt:lpstr>README</vt:lpstr>
      <vt:lpstr>1.1_Stationary</vt:lpstr>
      <vt:lpstr>1.2_Mobile</vt:lpstr>
      <vt:lpstr>1.4_Refrigerants</vt:lpstr>
      <vt:lpstr>2.1_Electricity</vt:lpstr>
      <vt:lpstr>3.1_Freight</vt:lpstr>
      <vt:lpstr>3.2_ProductShipment</vt:lpstr>
      <vt:lpstr>3.3_Commuting</vt:lpstr>
      <vt:lpstr>3.4_BusinessTravel</vt:lpstr>
      <vt:lpstr>3.5_FlightsHotels</vt:lpstr>
      <vt:lpstr>4.1_Purchased</vt:lpstr>
      <vt:lpstr>4.2_Capital</vt:lpstr>
      <vt:lpstr>4.3_Waste</vt:lpstr>
      <vt:lpstr>4.4_LeasedEquipment</vt:lpstr>
      <vt:lpstr>4.5_Services</vt:lpstr>
      <vt:lpstr>6.1_TDLosses</vt:lpstr>
      <vt:lpstr>PERSONNEL</vt:lpstr>
      <vt:lpstr>TOTAL_EMISSIONS</vt:lpstr>
      <vt:lpstr>IMPACT_ANALYSIS</vt:lpstr>
      <vt:lpstr>PER_CAPITA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YILDIZ</cp:lastModifiedBy>
  <dcterms:created xsi:type="dcterms:W3CDTF">2026-04-09T14:44:01Z</dcterms:created>
  <dcterms:modified xsi:type="dcterms:W3CDTF">2026-04-13T07:05:40Z</dcterms:modified>
</cp:coreProperties>
</file>